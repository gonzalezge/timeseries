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UARIO\Downloads\"/>
    </mc:Choice>
  </mc:AlternateContent>
  <xr:revisionPtr revIDLastSave="0" documentId="13_ncr:1_{16DE5D10-7290-4CFC-9B0F-30E224A6C898}" xr6:coauthVersionLast="41" xr6:coauthVersionMax="41" xr10:uidLastSave="{00000000-0000-0000-0000-000000000000}"/>
  <bookViews>
    <workbookView xWindow="-110" yWindow="-110" windowWidth="19420" windowHeight="10420" activeTab="1" xr2:uid="{00000000-000D-0000-FFFF-FFFF00000000}"/>
  </bookViews>
  <sheets>
    <sheet name="Markowitz" sheetId="1" r:id="rId1"/>
    <sheet name="FrontEficiente" sheetId="2" r:id="rId2"/>
    <sheet name="Sheet3" sheetId="3" r:id="rId3"/>
  </sheets>
  <definedNames>
    <definedName name="solver_adj" localSheetId="0" hidden="1">Markowitz!$G$277:$G$281</definedName>
    <definedName name="solver_cvg" localSheetId="0" hidden="1">0.0001</definedName>
    <definedName name="solver_drv" localSheetId="0" hidden="1">1</definedName>
    <definedName name="solver_eng" localSheetId="1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Markowitz!$G$282</definedName>
    <definedName name="solver_lhs10" localSheetId="0" hidden="1">Markowitz!$C$277</definedName>
    <definedName name="solver_lhs100" localSheetId="0" hidden="1">Markowitz!$C$277</definedName>
    <definedName name="solver_lhs101" localSheetId="0" hidden="1">Markowitz!$C$277</definedName>
    <definedName name="solver_lhs102" localSheetId="0" hidden="1">Markowitz!$C$277</definedName>
    <definedName name="solver_lhs103" localSheetId="0" hidden="1">Markowitz!$C$277</definedName>
    <definedName name="solver_lhs104" localSheetId="0" hidden="1">Markowitz!$C$277</definedName>
    <definedName name="solver_lhs105" localSheetId="0" hidden="1">Markowitz!$C$277</definedName>
    <definedName name="solver_lhs106" localSheetId="0" hidden="1">Markowitz!$C$277</definedName>
    <definedName name="solver_lhs107" localSheetId="0" hidden="1">Markowitz!$C$277</definedName>
    <definedName name="solver_lhs108" localSheetId="0" hidden="1">Markowitz!$C$277</definedName>
    <definedName name="solver_lhs109" localSheetId="0" hidden="1">Markowitz!$C$277</definedName>
    <definedName name="solver_lhs11" localSheetId="0" hidden="1">Markowitz!$C$277</definedName>
    <definedName name="solver_lhs110" localSheetId="0" hidden="1">Markowitz!$C$277</definedName>
    <definedName name="solver_lhs111" localSheetId="0" hidden="1">Markowitz!$C$277</definedName>
    <definedName name="solver_lhs112" localSheetId="0" hidden="1">Markowitz!$C$277</definedName>
    <definedName name="solver_lhs113" localSheetId="0" hidden="1">Markowitz!$C$277</definedName>
    <definedName name="solver_lhs114" localSheetId="0" hidden="1">Markowitz!$C$277</definedName>
    <definedName name="solver_lhs115" localSheetId="0" hidden="1">Markowitz!$C$277</definedName>
    <definedName name="solver_lhs116" localSheetId="0" hidden="1">Markowitz!$C$277</definedName>
    <definedName name="solver_lhs117" localSheetId="0" hidden="1">Markowitz!$C$277</definedName>
    <definedName name="solver_lhs118" localSheetId="0" hidden="1">Markowitz!$C$277</definedName>
    <definedName name="solver_lhs119" localSheetId="0" hidden="1">Markowitz!$C$277</definedName>
    <definedName name="solver_lhs12" localSheetId="0" hidden="1">Markowitz!$C$277</definedName>
    <definedName name="solver_lhs120" localSheetId="0" hidden="1">Markowitz!$C$277</definedName>
    <definedName name="solver_lhs121" localSheetId="0" hidden="1">Markowitz!$C$277</definedName>
    <definedName name="solver_lhs122" localSheetId="0" hidden="1">Markowitz!$C$277</definedName>
    <definedName name="solver_lhs123" localSheetId="0" hidden="1">Markowitz!$C$277</definedName>
    <definedName name="solver_lhs124" localSheetId="0" hidden="1">Markowitz!$C$277</definedName>
    <definedName name="solver_lhs125" localSheetId="0" hidden="1">Markowitz!$C$277</definedName>
    <definedName name="solver_lhs126" localSheetId="0" hidden="1">Markowitz!$C$277</definedName>
    <definedName name="solver_lhs127" localSheetId="0" hidden="1">Markowitz!$C$277</definedName>
    <definedName name="solver_lhs128" localSheetId="0" hidden="1">Markowitz!$C$277</definedName>
    <definedName name="solver_lhs129" localSheetId="0" hidden="1">Markowitz!$C$277</definedName>
    <definedName name="solver_lhs13" localSheetId="0" hidden="1">Markowitz!$C$277</definedName>
    <definedName name="solver_lhs130" localSheetId="0" hidden="1">Markowitz!$C$277</definedName>
    <definedName name="solver_lhs131" localSheetId="0" hidden="1">Markowitz!$C$277</definedName>
    <definedName name="solver_lhs132" localSheetId="0" hidden="1">Markowitz!$C$277</definedName>
    <definedName name="solver_lhs133" localSheetId="0" hidden="1">Markowitz!$C$277</definedName>
    <definedName name="solver_lhs134" localSheetId="0" hidden="1">Markowitz!$C$277</definedName>
    <definedName name="solver_lhs135" localSheetId="0" hidden="1">Markowitz!$C$277</definedName>
    <definedName name="solver_lhs136" localSheetId="0" hidden="1">Markowitz!$C$277</definedName>
    <definedName name="solver_lhs137" localSheetId="0" hidden="1">Markowitz!$C$277</definedName>
    <definedName name="solver_lhs138" localSheetId="0" hidden="1">Markowitz!$C$277</definedName>
    <definedName name="solver_lhs139" localSheetId="0" hidden="1">Markowitz!$C$277</definedName>
    <definedName name="solver_lhs14" localSheetId="0" hidden="1">Markowitz!$C$277</definedName>
    <definedName name="solver_lhs140" localSheetId="0" hidden="1">Markowitz!$C$277</definedName>
    <definedName name="solver_lhs141" localSheetId="0" hidden="1">Markowitz!$C$277</definedName>
    <definedName name="solver_lhs142" localSheetId="0" hidden="1">Markowitz!$C$277</definedName>
    <definedName name="solver_lhs143" localSheetId="0" hidden="1">Markowitz!$C$277</definedName>
    <definedName name="solver_lhs144" localSheetId="0" hidden="1">Markowitz!$C$277</definedName>
    <definedName name="solver_lhs145" localSheetId="0" hidden="1">Markowitz!$C$277</definedName>
    <definedName name="solver_lhs146" localSheetId="0" hidden="1">Markowitz!$C$277</definedName>
    <definedName name="solver_lhs147" localSheetId="0" hidden="1">Markowitz!$C$277</definedName>
    <definedName name="solver_lhs148" localSheetId="0" hidden="1">Markowitz!$C$277</definedName>
    <definedName name="solver_lhs149" localSheetId="0" hidden="1">Markowitz!$C$277</definedName>
    <definedName name="solver_lhs15" localSheetId="0" hidden="1">Markowitz!$C$277</definedName>
    <definedName name="solver_lhs150" localSheetId="0" hidden="1">Markowitz!$C$277</definedName>
    <definedName name="solver_lhs151" localSheetId="0" hidden="1">Markowitz!$C$277</definedName>
    <definedName name="solver_lhs152" localSheetId="0" hidden="1">Markowitz!$C$277</definedName>
    <definedName name="solver_lhs153" localSheetId="0" hidden="1">Markowitz!$G$282</definedName>
    <definedName name="solver_lhs154" localSheetId="0" hidden="1">Markowitz!$C$277</definedName>
    <definedName name="solver_lhs155" localSheetId="0" hidden="1">Markowitz!$G$282</definedName>
    <definedName name="solver_lhs156" localSheetId="0" hidden="1">Markowitz!$G$282</definedName>
    <definedName name="solver_lhs157" localSheetId="0" hidden="1">Markowitz!$G$282</definedName>
    <definedName name="solver_lhs158" localSheetId="0" hidden="1">Markowitz!$G$282</definedName>
    <definedName name="solver_lhs159" localSheetId="0" hidden="1">Markowitz!$G$282</definedName>
    <definedName name="solver_lhs16" localSheetId="0" hidden="1">Markowitz!$C$277</definedName>
    <definedName name="solver_lhs160" localSheetId="0" hidden="1">Markowitz!$G$282</definedName>
    <definedName name="solver_lhs161" localSheetId="0" hidden="1">Markowitz!$G$282</definedName>
    <definedName name="solver_lhs162" localSheetId="0" hidden="1">Markowitz!$G$282</definedName>
    <definedName name="solver_lhs163" localSheetId="0" hidden="1">Markowitz!$G$282</definedName>
    <definedName name="solver_lhs164" localSheetId="0" hidden="1">Markowitz!$G$282</definedName>
    <definedName name="solver_lhs165" localSheetId="0" hidden="1">Markowitz!$G$282</definedName>
    <definedName name="solver_lhs166" localSheetId="0" hidden="1">Markowitz!$G$282</definedName>
    <definedName name="solver_lhs167" localSheetId="0" hidden="1">Markowitz!$G$282</definedName>
    <definedName name="solver_lhs168" localSheetId="0" hidden="1">Markowitz!$G$282</definedName>
    <definedName name="solver_lhs169" localSheetId="0" hidden="1">Markowitz!$G$282</definedName>
    <definedName name="solver_lhs17" localSheetId="0" hidden="1">Markowitz!$C$277</definedName>
    <definedName name="solver_lhs170" localSheetId="0" hidden="1">Markowitz!$G$282</definedName>
    <definedName name="solver_lhs171" localSheetId="0" hidden="1">Markowitz!$G$282</definedName>
    <definedName name="solver_lhs172" localSheetId="0" hidden="1">Markowitz!$G$282</definedName>
    <definedName name="solver_lhs173" localSheetId="0" hidden="1">Markowitz!$G$282</definedName>
    <definedName name="solver_lhs174" localSheetId="0" hidden="1">Markowitz!$G$282</definedName>
    <definedName name="solver_lhs175" localSheetId="0" hidden="1">Markowitz!$G$282</definedName>
    <definedName name="solver_lhs176" localSheetId="0" hidden="1">Markowitz!$G$282</definedName>
    <definedName name="solver_lhs177" localSheetId="0" hidden="1">Markowitz!$G$282</definedName>
    <definedName name="solver_lhs178" localSheetId="0" hidden="1">Markowitz!$G$282</definedName>
    <definedName name="solver_lhs179" localSheetId="0" hidden="1">Markowitz!$G$282</definedName>
    <definedName name="solver_lhs18" localSheetId="0" hidden="1">Markowitz!$C$277</definedName>
    <definedName name="solver_lhs180" localSheetId="0" hidden="1">Markowitz!$G$282</definedName>
    <definedName name="solver_lhs181" localSheetId="0" hidden="1">Markowitz!$G$282</definedName>
    <definedName name="solver_lhs182" localSheetId="0" hidden="1">Markowitz!$G$282</definedName>
    <definedName name="solver_lhs183" localSheetId="0" hidden="1">Markowitz!$G$282</definedName>
    <definedName name="solver_lhs184" localSheetId="0" hidden="1">Markowitz!$G$282</definedName>
    <definedName name="solver_lhs185" localSheetId="0" hidden="1">Markowitz!$G$282</definedName>
    <definedName name="solver_lhs186" localSheetId="0" hidden="1">Markowitz!$G$282</definedName>
    <definedName name="solver_lhs187" localSheetId="0" hidden="1">Markowitz!$G$282</definedName>
    <definedName name="solver_lhs188" localSheetId="0" hidden="1">Markowitz!$G$282</definedName>
    <definedName name="solver_lhs189" localSheetId="0" hidden="1">Markowitz!$G$282</definedName>
    <definedName name="solver_lhs19" localSheetId="0" hidden="1">Markowitz!$C$277</definedName>
    <definedName name="solver_lhs190" localSheetId="0" hidden="1">Markowitz!$G$282</definedName>
    <definedName name="solver_lhs191" localSheetId="0" hidden="1">Markowitz!$G$282</definedName>
    <definedName name="solver_lhs192" localSheetId="0" hidden="1">Markowitz!$G$282</definedName>
    <definedName name="solver_lhs193" localSheetId="0" hidden="1">Markowitz!$G$282</definedName>
    <definedName name="solver_lhs194" localSheetId="0" hidden="1">Markowitz!$G$282</definedName>
    <definedName name="solver_lhs195" localSheetId="0" hidden="1">Markowitz!$G$282</definedName>
    <definedName name="solver_lhs196" localSheetId="0" hidden="1">Markowitz!$G$282</definedName>
    <definedName name="solver_lhs197" localSheetId="0" hidden="1">Markowitz!$G$282</definedName>
    <definedName name="solver_lhs198" localSheetId="0" hidden="1">Markowitz!$G$282</definedName>
    <definedName name="solver_lhs199" localSheetId="0" hidden="1">Markowitz!$G$282</definedName>
    <definedName name="solver_lhs2" localSheetId="0" hidden="1">Markowitz!$C$277</definedName>
    <definedName name="solver_lhs20" localSheetId="0" hidden="1">Markowitz!$C$277</definedName>
    <definedName name="solver_lhs200" localSheetId="0" hidden="1">Markowitz!$G$282</definedName>
    <definedName name="solver_lhs201" localSheetId="0" hidden="1">Markowitz!$G$282</definedName>
    <definedName name="solver_lhs202" localSheetId="0" hidden="1">Markowitz!$G$282</definedName>
    <definedName name="solver_lhs203" localSheetId="0" hidden="1">Markowitz!$G$282</definedName>
    <definedName name="solver_lhs204" localSheetId="0" hidden="1">Markowitz!$G$282</definedName>
    <definedName name="solver_lhs205" localSheetId="0" hidden="1">Markowitz!$G$282</definedName>
    <definedName name="solver_lhs206" localSheetId="0" hidden="1">Markowitz!$G$282</definedName>
    <definedName name="solver_lhs207" localSheetId="0" hidden="1">Markowitz!$G$282</definedName>
    <definedName name="solver_lhs208" localSheetId="0" hidden="1">Markowitz!$G$282</definedName>
    <definedName name="solver_lhs209" localSheetId="0" hidden="1">Markowitz!$G$282</definedName>
    <definedName name="solver_lhs21" localSheetId="0" hidden="1">Markowitz!$C$277</definedName>
    <definedName name="solver_lhs210" localSheetId="0" hidden="1">Markowitz!$G$282</definedName>
    <definedName name="solver_lhs211" localSheetId="0" hidden="1">Markowitz!$G$282</definedName>
    <definedName name="solver_lhs212" localSheetId="0" hidden="1">Markowitz!$G$282</definedName>
    <definedName name="solver_lhs213" localSheetId="0" hidden="1">Markowitz!$G$282</definedName>
    <definedName name="solver_lhs214" localSheetId="0" hidden="1">Markowitz!$G$282</definedName>
    <definedName name="solver_lhs215" localSheetId="0" hidden="1">Markowitz!$G$282</definedName>
    <definedName name="solver_lhs216" localSheetId="0" hidden="1">Markowitz!$G$282</definedName>
    <definedName name="solver_lhs217" localSheetId="0" hidden="1">Markowitz!$G$282</definedName>
    <definedName name="solver_lhs218" localSheetId="0" hidden="1">Markowitz!$G$282</definedName>
    <definedName name="solver_lhs219" localSheetId="0" hidden="1">Markowitz!$G$282</definedName>
    <definedName name="solver_lhs22" localSheetId="0" hidden="1">Markowitz!$C$277</definedName>
    <definedName name="solver_lhs220" localSheetId="0" hidden="1">Markowitz!$G$282</definedName>
    <definedName name="solver_lhs221" localSheetId="0" hidden="1">Markowitz!$G$282</definedName>
    <definedName name="solver_lhs222" localSheetId="0" hidden="1">Markowitz!$G$282</definedName>
    <definedName name="solver_lhs223" localSheetId="0" hidden="1">Markowitz!$G$282</definedName>
    <definedName name="solver_lhs224" localSheetId="0" hidden="1">Markowitz!$G$282</definedName>
    <definedName name="solver_lhs225" localSheetId="0" hidden="1">Markowitz!$G$282</definedName>
    <definedName name="solver_lhs226" localSheetId="0" hidden="1">Markowitz!$G$282</definedName>
    <definedName name="solver_lhs227" localSheetId="0" hidden="1">Markowitz!$G$282</definedName>
    <definedName name="solver_lhs228" localSheetId="0" hidden="1">Markowitz!$G$282</definedName>
    <definedName name="solver_lhs229" localSheetId="0" hidden="1">Markowitz!$G$282</definedName>
    <definedName name="solver_lhs23" localSheetId="0" hidden="1">Markowitz!$C$277</definedName>
    <definedName name="solver_lhs230" localSheetId="0" hidden="1">Markowitz!$G$282</definedName>
    <definedName name="solver_lhs231" localSheetId="0" hidden="1">Markowitz!$G$282</definedName>
    <definedName name="solver_lhs232" localSheetId="0" hidden="1">Markowitz!$G$282</definedName>
    <definedName name="solver_lhs233" localSheetId="0" hidden="1">Markowitz!$G$282</definedName>
    <definedName name="solver_lhs234" localSheetId="0" hidden="1">Markowitz!$G$282</definedName>
    <definedName name="solver_lhs235" localSheetId="0" hidden="1">Markowitz!$G$282</definedName>
    <definedName name="solver_lhs236" localSheetId="0" hidden="1">Markowitz!$G$282</definedName>
    <definedName name="solver_lhs237" localSheetId="0" hidden="1">Markowitz!$G$282</definedName>
    <definedName name="solver_lhs238" localSheetId="0" hidden="1">Markowitz!$G$282</definedName>
    <definedName name="solver_lhs239" localSheetId="0" hidden="1">Markowitz!$G$282</definedName>
    <definedName name="solver_lhs24" localSheetId="0" hidden="1">Markowitz!$C$277</definedName>
    <definedName name="solver_lhs240" localSheetId="0" hidden="1">Markowitz!$G$282</definedName>
    <definedName name="solver_lhs241" localSheetId="0" hidden="1">Markowitz!$G$282</definedName>
    <definedName name="solver_lhs242" localSheetId="0" hidden="1">Markowitz!$G$282</definedName>
    <definedName name="solver_lhs243" localSheetId="0" hidden="1">Markowitz!$G$282</definedName>
    <definedName name="solver_lhs244" localSheetId="0" hidden="1">Markowitz!$G$282</definedName>
    <definedName name="solver_lhs245" localSheetId="0" hidden="1">Markowitz!$G$282</definedName>
    <definedName name="solver_lhs246" localSheetId="0" hidden="1">Markowitz!$G$282</definedName>
    <definedName name="solver_lhs247" localSheetId="0" hidden="1">Markowitz!$G$282</definedName>
    <definedName name="solver_lhs248" localSheetId="0" hidden="1">Markowitz!$G$282</definedName>
    <definedName name="solver_lhs249" localSheetId="0" hidden="1">Markowitz!$G$282</definedName>
    <definedName name="solver_lhs25" localSheetId="0" hidden="1">Markowitz!$C$277</definedName>
    <definedName name="solver_lhs250" localSheetId="0" hidden="1">Markowitz!$G$282</definedName>
    <definedName name="solver_lhs251" localSheetId="0" hidden="1">Markowitz!$G$282</definedName>
    <definedName name="solver_lhs252" localSheetId="0" hidden="1">Markowitz!$G$282</definedName>
    <definedName name="solver_lhs253" localSheetId="0" hidden="1">Markowitz!$G$282</definedName>
    <definedName name="solver_lhs254" localSheetId="0" hidden="1">Markowitz!$G$282</definedName>
    <definedName name="solver_lhs255" localSheetId="0" hidden="1">Markowitz!$G$282</definedName>
    <definedName name="solver_lhs256" localSheetId="0" hidden="1">Markowitz!$G$282</definedName>
    <definedName name="solver_lhs257" localSheetId="0" hidden="1">Markowitz!$G$282</definedName>
    <definedName name="solver_lhs258" localSheetId="0" hidden="1">Markowitz!$G$282</definedName>
    <definedName name="solver_lhs259" localSheetId="0" hidden="1">Markowitz!$G$282</definedName>
    <definedName name="solver_lhs26" localSheetId="0" hidden="1">Markowitz!$C$277</definedName>
    <definedName name="solver_lhs260" localSheetId="0" hidden="1">Markowitz!$G$282</definedName>
    <definedName name="solver_lhs261" localSheetId="0" hidden="1">Markowitz!$G$282</definedName>
    <definedName name="solver_lhs262" localSheetId="0" hidden="1">Markowitz!$G$282</definedName>
    <definedName name="solver_lhs263" localSheetId="0" hidden="1">Markowitz!$G$282</definedName>
    <definedName name="solver_lhs264" localSheetId="0" hidden="1">Markowitz!$G$282</definedName>
    <definedName name="solver_lhs265" localSheetId="0" hidden="1">Markowitz!$G$282</definedName>
    <definedName name="solver_lhs266" localSheetId="0" hidden="1">Markowitz!$G$282</definedName>
    <definedName name="solver_lhs267" localSheetId="0" hidden="1">Markowitz!$G$282</definedName>
    <definedName name="solver_lhs268" localSheetId="0" hidden="1">Markowitz!$G$282</definedName>
    <definedName name="solver_lhs269" localSheetId="0" hidden="1">Markowitz!$G$282</definedName>
    <definedName name="solver_lhs27" localSheetId="0" hidden="1">Markowitz!$C$277</definedName>
    <definedName name="solver_lhs270" localSheetId="0" hidden="1">Markowitz!$G$282</definedName>
    <definedName name="solver_lhs271" localSheetId="0" hidden="1">Markowitz!$G$282</definedName>
    <definedName name="solver_lhs272" localSheetId="0" hidden="1">Markowitz!$G$282</definedName>
    <definedName name="solver_lhs273" localSheetId="0" hidden="1">Markowitz!$G$282</definedName>
    <definedName name="solver_lhs274" localSheetId="0" hidden="1">Markowitz!$G$282</definedName>
    <definedName name="solver_lhs275" localSheetId="0" hidden="1">Markowitz!$G$282</definedName>
    <definedName name="solver_lhs276" localSheetId="0" hidden="1">Markowitz!$G$282</definedName>
    <definedName name="solver_lhs277" localSheetId="0" hidden="1">Markowitz!$G$282</definedName>
    <definedName name="solver_lhs278" localSheetId="0" hidden="1">Markowitz!$G$282</definedName>
    <definedName name="solver_lhs279" localSheetId="0" hidden="1">Markowitz!$G$282</definedName>
    <definedName name="solver_lhs28" localSheetId="0" hidden="1">Markowitz!$C$277</definedName>
    <definedName name="solver_lhs280" localSheetId="0" hidden="1">Markowitz!$G$282</definedName>
    <definedName name="solver_lhs281" localSheetId="0" hidden="1">Markowitz!$G$282</definedName>
    <definedName name="solver_lhs282" localSheetId="0" hidden="1">Markowitz!$G$282</definedName>
    <definedName name="solver_lhs283" localSheetId="0" hidden="1">Markowitz!$G$282</definedName>
    <definedName name="solver_lhs284" localSheetId="0" hidden="1">Markowitz!$G$282</definedName>
    <definedName name="solver_lhs285" localSheetId="0" hidden="1">Markowitz!$G$282</definedName>
    <definedName name="solver_lhs286" localSheetId="0" hidden="1">Markowitz!$G$282</definedName>
    <definedName name="solver_lhs287" localSheetId="0" hidden="1">Markowitz!$G$282</definedName>
    <definedName name="solver_lhs288" localSheetId="0" hidden="1">Markowitz!$G$282</definedName>
    <definedName name="solver_lhs289" localSheetId="0" hidden="1">Markowitz!$G$282</definedName>
    <definedName name="solver_lhs29" localSheetId="0" hidden="1">Markowitz!$C$277</definedName>
    <definedName name="solver_lhs290" localSheetId="0" hidden="1">Markowitz!$G$282</definedName>
    <definedName name="solver_lhs291" localSheetId="0" hidden="1">Markowitz!$G$282</definedName>
    <definedName name="solver_lhs292" localSheetId="0" hidden="1">Markowitz!$G$282</definedName>
    <definedName name="solver_lhs293" localSheetId="0" hidden="1">Markowitz!$G$282</definedName>
    <definedName name="solver_lhs294" localSheetId="0" hidden="1">Markowitz!$G$282</definedName>
    <definedName name="solver_lhs295" localSheetId="0" hidden="1">Markowitz!$G$282</definedName>
    <definedName name="solver_lhs296" localSheetId="0" hidden="1">Markowitz!$G$282</definedName>
    <definedName name="solver_lhs297" localSheetId="0" hidden="1">Markowitz!$G$282</definedName>
    <definedName name="solver_lhs298" localSheetId="0" hidden="1">Markowitz!$G$282</definedName>
    <definedName name="solver_lhs299" localSheetId="0" hidden="1">Markowitz!$G$282</definedName>
    <definedName name="solver_lhs3" localSheetId="0" hidden="1">Markowitz!$C$277</definedName>
    <definedName name="solver_lhs30" localSheetId="0" hidden="1">Markowitz!$C$277</definedName>
    <definedName name="solver_lhs300" localSheetId="0" hidden="1">Markowitz!$G$282</definedName>
    <definedName name="solver_lhs301" localSheetId="0" hidden="1">Markowitz!$G$282</definedName>
    <definedName name="solver_lhs302" localSheetId="0" hidden="1">Markowitz!$G$282</definedName>
    <definedName name="solver_lhs303" localSheetId="0" hidden="1">Markowitz!$G$282</definedName>
    <definedName name="solver_lhs304" localSheetId="0" hidden="1">Markowitz!$G$282</definedName>
    <definedName name="solver_lhs305" localSheetId="0" hidden="1">Markowitz!$G$282</definedName>
    <definedName name="solver_lhs306" localSheetId="0" hidden="1">Markowitz!$G$282</definedName>
    <definedName name="solver_lhs307" localSheetId="0" hidden="1">Markowitz!$G$282</definedName>
    <definedName name="solver_lhs308" localSheetId="0" hidden="1">Markowitz!$G$282</definedName>
    <definedName name="solver_lhs31" localSheetId="0" hidden="1">Markowitz!$C$277</definedName>
    <definedName name="solver_lhs32" localSheetId="0" hidden="1">Markowitz!$C$277</definedName>
    <definedName name="solver_lhs33" localSheetId="0" hidden="1">Markowitz!$C$277</definedName>
    <definedName name="solver_lhs34" localSheetId="0" hidden="1">Markowitz!$C$277</definedName>
    <definedName name="solver_lhs35" localSheetId="0" hidden="1">Markowitz!$C$277</definedName>
    <definedName name="solver_lhs36" localSheetId="0" hidden="1">Markowitz!$C$277</definedName>
    <definedName name="solver_lhs37" localSheetId="0" hidden="1">Markowitz!$C$277</definedName>
    <definedName name="solver_lhs38" localSheetId="0" hidden="1">Markowitz!$C$277</definedName>
    <definedName name="solver_lhs39" localSheetId="0" hidden="1">Markowitz!$C$277</definedName>
    <definedName name="solver_lhs4" localSheetId="0" hidden="1">Markowitz!$C$277</definedName>
    <definedName name="solver_lhs40" localSheetId="0" hidden="1">Markowitz!$C$277</definedName>
    <definedName name="solver_lhs41" localSheetId="0" hidden="1">Markowitz!$C$277</definedName>
    <definedName name="solver_lhs42" localSheetId="0" hidden="1">Markowitz!$C$277</definedName>
    <definedName name="solver_lhs43" localSheetId="0" hidden="1">Markowitz!$C$277</definedName>
    <definedName name="solver_lhs44" localSheetId="0" hidden="1">Markowitz!$C$277</definedName>
    <definedName name="solver_lhs45" localSheetId="0" hidden="1">Markowitz!$C$277</definedName>
    <definedName name="solver_lhs46" localSheetId="0" hidden="1">Markowitz!$C$277</definedName>
    <definedName name="solver_lhs47" localSheetId="0" hidden="1">Markowitz!$C$277</definedName>
    <definedName name="solver_lhs48" localSheetId="0" hidden="1">Markowitz!$C$277</definedName>
    <definedName name="solver_lhs49" localSheetId="0" hidden="1">Markowitz!$C$277</definedName>
    <definedName name="solver_lhs5" localSheetId="0" hidden="1">Markowitz!$C$277</definedName>
    <definedName name="solver_lhs50" localSheetId="0" hidden="1">Markowitz!$C$277</definedName>
    <definedName name="solver_lhs51" localSheetId="0" hidden="1">Markowitz!$C$277</definedName>
    <definedName name="solver_lhs52" localSheetId="0" hidden="1">Markowitz!$C$277</definedName>
    <definedName name="solver_lhs53" localSheetId="0" hidden="1">Markowitz!$C$277</definedName>
    <definedName name="solver_lhs54" localSheetId="0" hidden="1">Markowitz!$C$277</definedName>
    <definedName name="solver_lhs55" localSheetId="0" hidden="1">Markowitz!$C$277</definedName>
    <definedName name="solver_lhs56" localSheetId="0" hidden="1">Markowitz!$C$277</definedName>
    <definedName name="solver_lhs57" localSheetId="0" hidden="1">Markowitz!$C$277</definedName>
    <definedName name="solver_lhs58" localSheetId="0" hidden="1">Markowitz!$C$277</definedName>
    <definedName name="solver_lhs59" localSheetId="0" hidden="1">Markowitz!$C$277</definedName>
    <definedName name="solver_lhs6" localSheetId="0" hidden="1">Markowitz!$C$277</definedName>
    <definedName name="solver_lhs60" localSheetId="0" hidden="1">Markowitz!$C$277</definedName>
    <definedName name="solver_lhs61" localSheetId="0" hidden="1">Markowitz!$C$277</definedName>
    <definedName name="solver_lhs62" localSheetId="0" hidden="1">Markowitz!$C$277</definedName>
    <definedName name="solver_lhs63" localSheetId="0" hidden="1">Markowitz!$C$277</definedName>
    <definedName name="solver_lhs64" localSheetId="0" hidden="1">Markowitz!$C$277</definedName>
    <definedName name="solver_lhs65" localSheetId="0" hidden="1">Markowitz!$C$277</definedName>
    <definedName name="solver_lhs66" localSheetId="0" hidden="1">Markowitz!$C$277</definedName>
    <definedName name="solver_lhs67" localSheetId="0" hidden="1">Markowitz!$C$277</definedName>
    <definedName name="solver_lhs68" localSheetId="0" hidden="1">Markowitz!$C$277</definedName>
    <definedName name="solver_lhs69" localSheetId="0" hidden="1">Markowitz!$C$277</definedName>
    <definedName name="solver_lhs7" localSheetId="0" hidden="1">Markowitz!$C$277</definedName>
    <definedName name="solver_lhs70" localSheetId="0" hidden="1">Markowitz!$C$277</definedName>
    <definedName name="solver_lhs71" localSheetId="0" hidden="1">Markowitz!$C$277</definedName>
    <definedName name="solver_lhs72" localSheetId="0" hidden="1">Markowitz!$C$277</definedName>
    <definedName name="solver_lhs73" localSheetId="0" hidden="1">Markowitz!$C$277</definedName>
    <definedName name="solver_lhs74" localSheetId="0" hidden="1">Markowitz!$C$277</definedName>
    <definedName name="solver_lhs75" localSheetId="0" hidden="1">Markowitz!$C$277</definedName>
    <definedName name="solver_lhs76" localSheetId="0" hidden="1">Markowitz!$C$277</definedName>
    <definedName name="solver_lhs77" localSheetId="0" hidden="1">Markowitz!$C$277</definedName>
    <definedName name="solver_lhs78" localSheetId="0" hidden="1">Markowitz!$C$277</definedName>
    <definedName name="solver_lhs79" localSheetId="0" hidden="1">Markowitz!$C$277</definedName>
    <definedName name="solver_lhs8" localSheetId="0" hidden="1">Markowitz!$C$277</definedName>
    <definedName name="solver_lhs80" localSheetId="0" hidden="1">Markowitz!$C$277</definedName>
    <definedName name="solver_lhs81" localSheetId="0" hidden="1">Markowitz!$C$277</definedName>
    <definedName name="solver_lhs82" localSheetId="0" hidden="1">Markowitz!$C$277</definedName>
    <definedName name="solver_lhs83" localSheetId="0" hidden="1">Markowitz!$C$277</definedName>
    <definedName name="solver_lhs84" localSheetId="0" hidden="1">Markowitz!$C$277</definedName>
    <definedName name="solver_lhs85" localSheetId="0" hidden="1">Markowitz!$C$277</definedName>
    <definedName name="solver_lhs86" localSheetId="0" hidden="1">Markowitz!$C$277</definedName>
    <definedName name="solver_lhs87" localSheetId="0" hidden="1">Markowitz!$C$277</definedName>
    <definedName name="solver_lhs88" localSheetId="0" hidden="1">Markowitz!$C$277</definedName>
    <definedName name="solver_lhs89" localSheetId="0" hidden="1">Markowitz!$C$277</definedName>
    <definedName name="solver_lhs9" localSheetId="0" hidden="1">Markowitz!$C$277</definedName>
    <definedName name="solver_lhs90" localSheetId="0" hidden="1">Markowitz!$C$277</definedName>
    <definedName name="solver_lhs91" localSheetId="0" hidden="1">Markowitz!$C$277</definedName>
    <definedName name="solver_lhs92" localSheetId="0" hidden="1">Markowitz!$C$277</definedName>
    <definedName name="solver_lhs93" localSheetId="0" hidden="1">Markowitz!$C$277</definedName>
    <definedName name="solver_lhs94" localSheetId="0" hidden="1">Markowitz!$C$277</definedName>
    <definedName name="solver_lhs95" localSheetId="0" hidden="1">Markowitz!$C$277</definedName>
    <definedName name="solver_lhs96" localSheetId="0" hidden="1">Markowitz!$C$277</definedName>
    <definedName name="solver_lhs97" localSheetId="0" hidden="1">Markowitz!$C$277</definedName>
    <definedName name="solver_lhs98" localSheetId="0" hidden="1">Markowitz!$C$277</definedName>
    <definedName name="solver_lhs99" localSheetId="0" hidden="1">Markowitz!$C$277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1" hidden="1">1</definedName>
    <definedName name="solver_neg" localSheetId="0" hidden="1">1</definedName>
    <definedName name="solver_nod" localSheetId="0" hidden="1">2147483647</definedName>
    <definedName name="solver_num" localSheetId="1" hidden="1">0</definedName>
    <definedName name="solver_num" localSheetId="0" hidden="1">2</definedName>
    <definedName name="solver_nwt" localSheetId="0" hidden="1">1</definedName>
    <definedName name="solver_opt" localSheetId="1" hidden="1">FrontEficiente!$O$7</definedName>
    <definedName name="solver_opt" localSheetId="0" hidden="1">Markowitz!$C$276</definedName>
    <definedName name="solver_pre" localSheetId="0" hidden="1">0.000001</definedName>
    <definedName name="solver_rbv" localSheetId="0" hidden="1">1</definedName>
    <definedName name="solver_rel1" localSheetId="0" hidden="1">2</definedName>
    <definedName name="solver_rel10" localSheetId="0" hidden="1">2</definedName>
    <definedName name="solver_rel100" localSheetId="0" hidden="1">2</definedName>
    <definedName name="solver_rel101" localSheetId="0" hidden="1">2</definedName>
    <definedName name="solver_rel102" localSheetId="0" hidden="1">2</definedName>
    <definedName name="solver_rel103" localSheetId="0" hidden="1">2</definedName>
    <definedName name="solver_rel104" localSheetId="0" hidden="1">2</definedName>
    <definedName name="solver_rel105" localSheetId="0" hidden="1">2</definedName>
    <definedName name="solver_rel106" localSheetId="0" hidden="1">2</definedName>
    <definedName name="solver_rel107" localSheetId="0" hidden="1">2</definedName>
    <definedName name="solver_rel108" localSheetId="0" hidden="1">2</definedName>
    <definedName name="solver_rel109" localSheetId="0" hidden="1">2</definedName>
    <definedName name="solver_rel11" localSheetId="0" hidden="1">2</definedName>
    <definedName name="solver_rel110" localSheetId="0" hidden="1">2</definedName>
    <definedName name="solver_rel111" localSheetId="0" hidden="1">2</definedName>
    <definedName name="solver_rel112" localSheetId="0" hidden="1">2</definedName>
    <definedName name="solver_rel113" localSheetId="0" hidden="1">2</definedName>
    <definedName name="solver_rel114" localSheetId="0" hidden="1">2</definedName>
    <definedName name="solver_rel115" localSheetId="0" hidden="1">2</definedName>
    <definedName name="solver_rel116" localSheetId="0" hidden="1">2</definedName>
    <definedName name="solver_rel117" localSheetId="0" hidden="1">2</definedName>
    <definedName name="solver_rel118" localSheetId="0" hidden="1">2</definedName>
    <definedName name="solver_rel119" localSheetId="0" hidden="1">2</definedName>
    <definedName name="solver_rel12" localSheetId="0" hidden="1">2</definedName>
    <definedName name="solver_rel120" localSheetId="0" hidden="1">2</definedName>
    <definedName name="solver_rel121" localSheetId="0" hidden="1">2</definedName>
    <definedName name="solver_rel122" localSheetId="0" hidden="1">2</definedName>
    <definedName name="solver_rel123" localSheetId="0" hidden="1">2</definedName>
    <definedName name="solver_rel124" localSheetId="0" hidden="1">2</definedName>
    <definedName name="solver_rel125" localSheetId="0" hidden="1">2</definedName>
    <definedName name="solver_rel126" localSheetId="0" hidden="1">2</definedName>
    <definedName name="solver_rel127" localSheetId="0" hidden="1">2</definedName>
    <definedName name="solver_rel128" localSheetId="0" hidden="1">2</definedName>
    <definedName name="solver_rel129" localSheetId="0" hidden="1">2</definedName>
    <definedName name="solver_rel13" localSheetId="0" hidden="1">2</definedName>
    <definedName name="solver_rel130" localSheetId="0" hidden="1">2</definedName>
    <definedName name="solver_rel131" localSheetId="0" hidden="1">2</definedName>
    <definedName name="solver_rel132" localSheetId="0" hidden="1">2</definedName>
    <definedName name="solver_rel133" localSheetId="0" hidden="1">2</definedName>
    <definedName name="solver_rel134" localSheetId="0" hidden="1">2</definedName>
    <definedName name="solver_rel135" localSheetId="0" hidden="1">2</definedName>
    <definedName name="solver_rel136" localSheetId="0" hidden="1">2</definedName>
    <definedName name="solver_rel137" localSheetId="0" hidden="1">2</definedName>
    <definedName name="solver_rel138" localSheetId="0" hidden="1">2</definedName>
    <definedName name="solver_rel139" localSheetId="0" hidden="1">2</definedName>
    <definedName name="solver_rel14" localSheetId="0" hidden="1">2</definedName>
    <definedName name="solver_rel140" localSheetId="0" hidden="1">2</definedName>
    <definedName name="solver_rel141" localSheetId="0" hidden="1">2</definedName>
    <definedName name="solver_rel142" localSheetId="0" hidden="1">2</definedName>
    <definedName name="solver_rel143" localSheetId="0" hidden="1">2</definedName>
    <definedName name="solver_rel144" localSheetId="0" hidden="1">2</definedName>
    <definedName name="solver_rel145" localSheetId="0" hidden="1">2</definedName>
    <definedName name="solver_rel146" localSheetId="0" hidden="1">2</definedName>
    <definedName name="solver_rel147" localSheetId="0" hidden="1">2</definedName>
    <definedName name="solver_rel148" localSheetId="0" hidden="1">2</definedName>
    <definedName name="solver_rel149" localSheetId="0" hidden="1">2</definedName>
    <definedName name="solver_rel15" localSheetId="0" hidden="1">2</definedName>
    <definedName name="solver_rel150" localSheetId="0" hidden="1">2</definedName>
    <definedName name="solver_rel151" localSheetId="0" hidden="1">2</definedName>
    <definedName name="solver_rel152" localSheetId="0" hidden="1">2</definedName>
    <definedName name="solver_rel153" localSheetId="0" hidden="1">2</definedName>
    <definedName name="solver_rel154" localSheetId="0" hidden="1">2</definedName>
    <definedName name="solver_rel155" localSheetId="0" hidden="1">2</definedName>
    <definedName name="solver_rel156" localSheetId="0" hidden="1">2</definedName>
    <definedName name="solver_rel157" localSheetId="0" hidden="1">2</definedName>
    <definedName name="solver_rel158" localSheetId="0" hidden="1">2</definedName>
    <definedName name="solver_rel159" localSheetId="0" hidden="1">2</definedName>
    <definedName name="solver_rel16" localSheetId="0" hidden="1">2</definedName>
    <definedName name="solver_rel160" localSheetId="0" hidden="1">2</definedName>
    <definedName name="solver_rel161" localSheetId="0" hidden="1">2</definedName>
    <definedName name="solver_rel162" localSheetId="0" hidden="1">2</definedName>
    <definedName name="solver_rel163" localSheetId="0" hidden="1">2</definedName>
    <definedName name="solver_rel164" localSheetId="0" hidden="1">2</definedName>
    <definedName name="solver_rel165" localSheetId="0" hidden="1">2</definedName>
    <definedName name="solver_rel166" localSheetId="0" hidden="1">2</definedName>
    <definedName name="solver_rel167" localSheetId="0" hidden="1">2</definedName>
    <definedName name="solver_rel168" localSheetId="0" hidden="1">2</definedName>
    <definedName name="solver_rel169" localSheetId="0" hidden="1">2</definedName>
    <definedName name="solver_rel17" localSheetId="0" hidden="1">2</definedName>
    <definedName name="solver_rel170" localSheetId="0" hidden="1">2</definedName>
    <definedName name="solver_rel171" localSheetId="0" hidden="1">2</definedName>
    <definedName name="solver_rel172" localSheetId="0" hidden="1">2</definedName>
    <definedName name="solver_rel173" localSheetId="0" hidden="1">2</definedName>
    <definedName name="solver_rel174" localSheetId="0" hidden="1">2</definedName>
    <definedName name="solver_rel175" localSheetId="0" hidden="1">2</definedName>
    <definedName name="solver_rel176" localSheetId="0" hidden="1">2</definedName>
    <definedName name="solver_rel177" localSheetId="0" hidden="1">2</definedName>
    <definedName name="solver_rel178" localSheetId="0" hidden="1">2</definedName>
    <definedName name="solver_rel179" localSheetId="0" hidden="1">2</definedName>
    <definedName name="solver_rel18" localSheetId="0" hidden="1">2</definedName>
    <definedName name="solver_rel180" localSheetId="0" hidden="1">2</definedName>
    <definedName name="solver_rel181" localSheetId="0" hidden="1">2</definedName>
    <definedName name="solver_rel182" localSheetId="0" hidden="1">2</definedName>
    <definedName name="solver_rel183" localSheetId="0" hidden="1">2</definedName>
    <definedName name="solver_rel184" localSheetId="0" hidden="1">2</definedName>
    <definedName name="solver_rel185" localSheetId="0" hidden="1">2</definedName>
    <definedName name="solver_rel186" localSheetId="0" hidden="1">2</definedName>
    <definedName name="solver_rel187" localSheetId="0" hidden="1">2</definedName>
    <definedName name="solver_rel188" localSheetId="0" hidden="1">2</definedName>
    <definedName name="solver_rel189" localSheetId="0" hidden="1">2</definedName>
    <definedName name="solver_rel19" localSheetId="0" hidden="1">2</definedName>
    <definedName name="solver_rel190" localSheetId="0" hidden="1">2</definedName>
    <definedName name="solver_rel191" localSheetId="0" hidden="1">2</definedName>
    <definedName name="solver_rel192" localSheetId="0" hidden="1">2</definedName>
    <definedName name="solver_rel193" localSheetId="0" hidden="1">2</definedName>
    <definedName name="solver_rel194" localSheetId="0" hidden="1">2</definedName>
    <definedName name="solver_rel195" localSheetId="0" hidden="1">2</definedName>
    <definedName name="solver_rel196" localSheetId="0" hidden="1">2</definedName>
    <definedName name="solver_rel197" localSheetId="0" hidden="1">2</definedName>
    <definedName name="solver_rel198" localSheetId="0" hidden="1">2</definedName>
    <definedName name="solver_rel199" localSheetId="0" hidden="1">2</definedName>
    <definedName name="solver_rel2" localSheetId="0" hidden="1">2</definedName>
    <definedName name="solver_rel20" localSheetId="0" hidden="1">2</definedName>
    <definedName name="solver_rel200" localSheetId="0" hidden="1">2</definedName>
    <definedName name="solver_rel201" localSheetId="0" hidden="1">2</definedName>
    <definedName name="solver_rel202" localSheetId="0" hidden="1">2</definedName>
    <definedName name="solver_rel203" localSheetId="0" hidden="1">2</definedName>
    <definedName name="solver_rel204" localSheetId="0" hidden="1">2</definedName>
    <definedName name="solver_rel205" localSheetId="0" hidden="1">2</definedName>
    <definedName name="solver_rel206" localSheetId="0" hidden="1">2</definedName>
    <definedName name="solver_rel207" localSheetId="0" hidden="1">2</definedName>
    <definedName name="solver_rel208" localSheetId="0" hidden="1">2</definedName>
    <definedName name="solver_rel209" localSheetId="0" hidden="1">2</definedName>
    <definedName name="solver_rel21" localSheetId="0" hidden="1">2</definedName>
    <definedName name="solver_rel210" localSheetId="0" hidden="1">2</definedName>
    <definedName name="solver_rel211" localSheetId="0" hidden="1">2</definedName>
    <definedName name="solver_rel212" localSheetId="0" hidden="1">2</definedName>
    <definedName name="solver_rel213" localSheetId="0" hidden="1">2</definedName>
    <definedName name="solver_rel214" localSheetId="0" hidden="1">2</definedName>
    <definedName name="solver_rel215" localSheetId="0" hidden="1">2</definedName>
    <definedName name="solver_rel216" localSheetId="0" hidden="1">2</definedName>
    <definedName name="solver_rel217" localSheetId="0" hidden="1">2</definedName>
    <definedName name="solver_rel218" localSheetId="0" hidden="1">2</definedName>
    <definedName name="solver_rel219" localSheetId="0" hidden="1">2</definedName>
    <definedName name="solver_rel22" localSheetId="0" hidden="1">2</definedName>
    <definedName name="solver_rel220" localSheetId="0" hidden="1">2</definedName>
    <definedName name="solver_rel221" localSheetId="0" hidden="1">2</definedName>
    <definedName name="solver_rel222" localSheetId="0" hidden="1">2</definedName>
    <definedName name="solver_rel223" localSheetId="0" hidden="1">2</definedName>
    <definedName name="solver_rel224" localSheetId="0" hidden="1">2</definedName>
    <definedName name="solver_rel225" localSheetId="0" hidden="1">2</definedName>
    <definedName name="solver_rel226" localSheetId="0" hidden="1">2</definedName>
    <definedName name="solver_rel227" localSheetId="0" hidden="1">2</definedName>
    <definedName name="solver_rel228" localSheetId="0" hidden="1">2</definedName>
    <definedName name="solver_rel229" localSheetId="0" hidden="1">2</definedName>
    <definedName name="solver_rel23" localSheetId="0" hidden="1">2</definedName>
    <definedName name="solver_rel230" localSheetId="0" hidden="1">2</definedName>
    <definedName name="solver_rel231" localSheetId="0" hidden="1">2</definedName>
    <definedName name="solver_rel232" localSheetId="0" hidden="1">2</definedName>
    <definedName name="solver_rel233" localSheetId="0" hidden="1">2</definedName>
    <definedName name="solver_rel234" localSheetId="0" hidden="1">2</definedName>
    <definedName name="solver_rel235" localSheetId="0" hidden="1">2</definedName>
    <definedName name="solver_rel236" localSheetId="0" hidden="1">2</definedName>
    <definedName name="solver_rel237" localSheetId="0" hidden="1">2</definedName>
    <definedName name="solver_rel238" localSheetId="0" hidden="1">2</definedName>
    <definedName name="solver_rel239" localSheetId="0" hidden="1">2</definedName>
    <definedName name="solver_rel24" localSheetId="0" hidden="1">2</definedName>
    <definedName name="solver_rel240" localSheetId="0" hidden="1">2</definedName>
    <definedName name="solver_rel241" localSheetId="0" hidden="1">2</definedName>
    <definedName name="solver_rel242" localSheetId="0" hidden="1">2</definedName>
    <definedName name="solver_rel243" localSheetId="0" hidden="1">2</definedName>
    <definedName name="solver_rel244" localSheetId="0" hidden="1">2</definedName>
    <definedName name="solver_rel245" localSheetId="0" hidden="1">2</definedName>
    <definedName name="solver_rel246" localSheetId="0" hidden="1">2</definedName>
    <definedName name="solver_rel247" localSheetId="0" hidden="1">2</definedName>
    <definedName name="solver_rel248" localSheetId="0" hidden="1">2</definedName>
    <definedName name="solver_rel249" localSheetId="0" hidden="1">2</definedName>
    <definedName name="solver_rel25" localSheetId="0" hidden="1">2</definedName>
    <definedName name="solver_rel250" localSheetId="0" hidden="1">2</definedName>
    <definedName name="solver_rel251" localSheetId="0" hidden="1">2</definedName>
    <definedName name="solver_rel252" localSheetId="0" hidden="1">2</definedName>
    <definedName name="solver_rel253" localSheetId="0" hidden="1">2</definedName>
    <definedName name="solver_rel254" localSheetId="0" hidden="1">2</definedName>
    <definedName name="solver_rel255" localSheetId="0" hidden="1">2</definedName>
    <definedName name="solver_rel256" localSheetId="0" hidden="1">2</definedName>
    <definedName name="solver_rel257" localSheetId="0" hidden="1">2</definedName>
    <definedName name="solver_rel258" localSheetId="0" hidden="1">2</definedName>
    <definedName name="solver_rel259" localSheetId="0" hidden="1">2</definedName>
    <definedName name="solver_rel26" localSheetId="0" hidden="1">2</definedName>
    <definedName name="solver_rel260" localSheetId="0" hidden="1">2</definedName>
    <definedName name="solver_rel261" localSheetId="0" hidden="1">2</definedName>
    <definedName name="solver_rel262" localSheetId="0" hidden="1">2</definedName>
    <definedName name="solver_rel263" localSheetId="0" hidden="1">2</definedName>
    <definedName name="solver_rel264" localSheetId="0" hidden="1">2</definedName>
    <definedName name="solver_rel265" localSheetId="0" hidden="1">2</definedName>
    <definedName name="solver_rel266" localSheetId="0" hidden="1">2</definedName>
    <definedName name="solver_rel267" localSheetId="0" hidden="1">2</definedName>
    <definedName name="solver_rel268" localSheetId="0" hidden="1">2</definedName>
    <definedName name="solver_rel269" localSheetId="0" hidden="1">2</definedName>
    <definedName name="solver_rel27" localSheetId="0" hidden="1">2</definedName>
    <definedName name="solver_rel270" localSheetId="0" hidden="1">2</definedName>
    <definedName name="solver_rel271" localSheetId="0" hidden="1">2</definedName>
    <definedName name="solver_rel272" localSheetId="0" hidden="1">2</definedName>
    <definedName name="solver_rel273" localSheetId="0" hidden="1">2</definedName>
    <definedName name="solver_rel274" localSheetId="0" hidden="1">2</definedName>
    <definedName name="solver_rel275" localSheetId="0" hidden="1">2</definedName>
    <definedName name="solver_rel276" localSheetId="0" hidden="1">2</definedName>
    <definedName name="solver_rel277" localSheetId="0" hidden="1">2</definedName>
    <definedName name="solver_rel278" localSheetId="0" hidden="1">2</definedName>
    <definedName name="solver_rel279" localSheetId="0" hidden="1">2</definedName>
    <definedName name="solver_rel28" localSheetId="0" hidden="1">2</definedName>
    <definedName name="solver_rel280" localSheetId="0" hidden="1">2</definedName>
    <definedName name="solver_rel281" localSheetId="0" hidden="1">2</definedName>
    <definedName name="solver_rel282" localSheetId="0" hidden="1">2</definedName>
    <definedName name="solver_rel283" localSheetId="0" hidden="1">2</definedName>
    <definedName name="solver_rel284" localSheetId="0" hidden="1">2</definedName>
    <definedName name="solver_rel285" localSheetId="0" hidden="1">2</definedName>
    <definedName name="solver_rel286" localSheetId="0" hidden="1">2</definedName>
    <definedName name="solver_rel287" localSheetId="0" hidden="1">2</definedName>
    <definedName name="solver_rel288" localSheetId="0" hidden="1">2</definedName>
    <definedName name="solver_rel289" localSheetId="0" hidden="1">2</definedName>
    <definedName name="solver_rel29" localSheetId="0" hidden="1">2</definedName>
    <definedName name="solver_rel290" localSheetId="0" hidden="1">2</definedName>
    <definedName name="solver_rel291" localSheetId="0" hidden="1">2</definedName>
    <definedName name="solver_rel292" localSheetId="0" hidden="1">2</definedName>
    <definedName name="solver_rel293" localSheetId="0" hidden="1">2</definedName>
    <definedName name="solver_rel294" localSheetId="0" hidden="1">2</definedName>
    <definedName name="solver_rel295" localSheetId="0" hidden="1">2</definedName>
    <definedName name="solver_rel296" localSheetId="0" hidden="1">2</definedName>
    <definedName name="solver_rel297" localSheetId="0" hidden="1">2</definedName>
    <definedName name="solver_rel298" localSheetId="0" hidden="1">2</definedName>
    <definedName name="solver_rel299" localSheetId="0" hidden="1">2</definedName>
    <definedName name="solver_rel3" localSheetId="0" hidden="1">2</definedName>
    <definedName name="solver_rel30" localSheetId="0" hidden="1">2</definedName>
    <definedName name="solver_rel300" localSheetId="0" hidden="1">2</definedName>
    <definedName name="solver_rel301" localSheetId="0" hidden="1">2</definedName>
    <definedName name="solver_rel302" localSheetId="0" hidden="1">2</definedName>
    <definedName name="solver_rel303" localSheetId="0" hidden="1">2</definedName>
    <definedName name="solver_rel304" localSheetId="0" hidden="1">2</definedName>
    <definedName name="solver_rel305" localSheetId="0" hidden="1">2</definedName>
    <definedName name="solver_rel306" localSheetId="0" hidden="1">2</definedName>
    <definedName name="solver_rel307" localSheetId="0" hidden="1">2</definedName>
    <definedName name="solver_rel308" localSheetId="0" hidden="1">2</definedName>
    <definedName name="solver_rel31" localSheetId="0" hidden="1">2</definedName>
    <definedName name="solver_rel32" localSheetId="0" hidden="1">2</definedName>
    <definedName name="solver_rel33" localSheetId="0" hidden="1">2</definedName>
    <definedName name="solver_rel34" localSheetId="0" hidden="1">2</definedName>
    <definedName name="solver_rel35" localSheetId="0" hidden="1">2</definedName>
    <definedName name="solver_rel36" localSheetId="0" hidden="1">2</definedName>
    <definedName name="solver_rel37" localSheetId="0" hidden="1">2</definedName>
    <definedName name="solver_rel38" localSheetId="0" hidden="1">2</definedName>
    <definedName name="solver_rel39" localSheetId="0" hidden="1">2</definedName>
    <definedName name="solver_rel4" localSheetId="0" hidden="1">2</definedName>
    <definedName name="solver_rel40" localSheetId="0" hidden="1">2</definedName>
    <definedName name="solver_rel41" localSheetId="0" hidden="1">2</definedName>
    <definedName name="solver_rel42" localSheetId="0" hidden="1">2</definedName>
    <definedName name="solver_rel43" localSheetId="0" hidden="1">2</definedName>
    <definedName name="solver_rel44" localSheetId="0" hidden="1">2</definedName>
    <definedName name="solver_rel45" localSheetId="0" hidden="1">2</definedName>
    <definedName name="solver_rel46" localSheetId="0" hidden="1">2</definedName>
    <definedName name="solver_rel47" localSheetId="0" hidden="1">2</definedName>
    <definedName name="solver_rel48" localSheetId="0" hidden="1">2</definedName>
    <definedName name="solver_rel49" localSheetId="0" hidden="1">2</definedName>
    <definedName name="solver_rel5" localSheetId="0" hidden="1">2</definedName>
    <definedName name="solver_rel50" localSheetId="0" hidden="1">2</definedName>
    <definedName name="solver_rel51" localSheetId="0" hidden="1">2</definedName>
    <definedName name="solver_rel52" localSheetId="0" hidden="1">2</definedName>
    <definedName name="solver_rel53" localSheetId="0" hidden="1">2</definedName>
    <definedName name="solver_rel54" localSheetId="0" hidden="1">2</definedName>
    <definedName name="solver_rel55" localSheetId="0" hidden="1">2</definedName>
    <definedName name="solver_rel56" localSheetId="0" hidden="1">2</definedName>
    <definedName name="solver_rel57" localSheetId="0" hidden="1">2</definedName>
    <definedName name="solver_rel58" localSheetId="0" hidden="1">2</definedName>
    <definedName name="solver_rel59" localSheetId="0" hidden="1">2</definedName>
    <definedName name="solver_rel6" localSheetId="0" hidden="1">2</definedName>
    <definedName name="solver_rel60" localSheetId="0" hidden="1">2</definedName>
    <definedName name="solver_rel61" localSheetId="0" hidden="1">2</definedName>
    <definedName name="solver_rel62" localSheetId="0" hidden="1">2</definedName>
    <definedName name="solver_rel63" localSheetId="0" hidden="1">2</definedName>
    <definedName name="solver_rel64" localSheetId="0" hidden="1">2</definedName>
    <definedName name="solver_rel65" localSheetId="0" hidden="1">2</definedName>
    <definedName name="solver_rel66" localSheetId="0" hidden="1">2</definedName>
    <definedName name="solver_rel67" localSheetId="0" hidden="1">2</definedName>
    <definedName name="solver_rel68" localSheetId="0" hidden="1">2</definedName>
    <definedName name="solver_rel69" localSheetId="0" hidden="1">2</definedName>
    <definedName name="solver_rel7" localSheetId="0" hidden="1">2</definedName>
    <definedName name="solver_rel70" localSheetId="0" hidden="1">2</definedName>
    <definedName name="solver_rel71" localSheetId="0" hidden="1">2</definedName>
    <definedName name="solver_rel72" localSheetId="0" hidden="1">2</definedName>
    <definedName name="solver_rel73" localSheetId="0" hidden="1">2</definedName>
    <definedName name="solver_rel74" localSheetId="0" hidden="1">2</definedName>
    <definedName name="solver_rel75" localSheetId="0" hidden="1">2</definedName>
    <definedName name="solver_rel76" localSheetId="0" hidden="1">2</definedName>
    <definedName name="solver_rel77" localSheetId="0" hidden="1">2</definedName>
    <definedName name="solver_rel78" localSheetId="0" hidden="1">2</definedName>
    <definedName name="solver_rel79" localSheetId="0" hidden="1">2</definedName>
    <definedName name="solver_rel8" localSheetId="0" hidden="1">2</definedName>
    <definedName name="solver_rel80" localSheetId="0" hidden="1">2</definedName>
    <definedName name="solver_rel81" localSheetId="0" hidden="1">2</definedName>
    <definedName name="solver_rel82" localSheetId="0" hidden="1">2</definedName>
    <definedName name="solver_rel83" localSheetId="0" hidden="1">2</definedName>
    <definedName name="solver_rel84" localSheetId="0" hidden="1">2</definedName>
    <definedName name="solver_rel85" localSheetId="0" hidden="1">2</definedName>
    <definedName name="solver_rel86" localSheetId="0" hidden="1">2</definedName>
    <definedName name="solver_rel87" localSheetId="0" hidden="1">2</definedName>
    <definedName name="solver_rel88" localSheetId="0" hidden="1">2</definedName>
    <definedName name="solver_rel89" localSheetId="0" hidden="1">2</definedName>
    <definedName name="solver_rel9" localSheetId="0" hidden="1">2</definedName>
    <definedName name="solver_rel90" localSheetId="0" hidden="1">2</definedName>
    <definedName name="solver_rel91" localSheetId="0" hidden="1">2</definedName>
    <definedName name="solver_rel92" localSheetId="0" hidden="1">2</definedName>
    <definedName name="solver_rel93" localSheetId="0" hidden="1">2</definedName>
    <definedName name="solver_rel94" localSheetId="0" hidden="1">2</definedName>
    <definedName name="solver_rel95" localSheetId="0" hidden="1">2</definedName>
    <definedName name="solver_rel96" localSheetId="0" hidden="1">2</definedName>
    <definedName name="solver_rel97" localSheetId="0" hidden="1">2</definedName>
    <definedName name="solver_rel98" localSheetId="0" hidden="1">2</definedName>
    <definedName name="solver_rel99" localSheetId="0" hidden="1">2</definedName>
    <definedName name="solver_rhs1" localSheetId="0" hidden="1">1</definedName>
    <definedName name="solver_rhs10" localSheetId="0" hidden="1">Markowitz!$C$278</definedName>
    <definedName name="solver_rhs100" localSheetId="0" hidden="1">Markowitz!$C$278</definedName>
    <definedName name="solver_rhs101" localSheetId="0" hidden="1">Markowitz!$C$278</definedName>
    <definedName name="solver_rhs102" localSheetId="0" hidden="1">Markowitz!$C$278</definedName>
    <definedName name="solver_rhs103" localSheetId="0" hidden="1">Markowitz!$C$278</definedName>
    <definedName name="solver_rhs104" localSheetId="0" hidden="1">Markowitz!$C$278</definedName>
    <definedName name="solver_rhs105" localSheetId="0" hidden="1">Markowitz!$C$278</definedName>
    <definedName name="solver_rhs106" localSheetId="0" hidden="1">Markowitz!$C$278</definedName>
    <definedName name="solver_rhs107" localSheetId="0" hidden="1">Markowitz!$C$278</definedName>
    <definedName name="solver_rhs108" localSheetId="0" hidden="1">Markowitz!$C$278</definedName>
    <definedName name="solver_rhs109" localSheetId="0" hidden="1">Markowitz!$C$278</definedName>
    <definedName name="solver_rhs11" localSheetId="0" hidden="1">Markowitz!$C$278</definedName>
    <definedName name="solver_rhs110" localSheetId="0" hidden="1">Markowitz!$C$278</definedName>
    <definedName name="solver_rhs111" localSheetId="0" hidden="1">Markowitz!$C$278</definedName>
    <definedName name="solver_rhs112" localSheetId="0" hidden="1">Markowitz!$C$278</definedName>
    <definedName name="solver_rhs113" localSheetId="0" hidden="1">Markowitz!$C$278</definedName>
    <definedName name="solver_rhs114" localSheetId="0" hidden="1">Markowitz!$C$278</definedName>
    <definedName name="solver_rhs115" localSheetId="0" hidden="1">Markowitz!$C$278</definedName>
    <definedName name="solver_rhs116" localSheetId="0" hidden="1">Markowitz!$C$278</definedName>
    <definedName name="solver_rhs117" localSheetId="0" hidden="1">Markowitz!$C$278</definedName>
    <definedName name="solver_rhs118" localSheetId="0" hidden="1">Markowitz!$C$278</definedName>
    <definedName name="solver_rhs119" localSheetId="0" hidden="1">Markowitz!$C$278</definedName>
    <definedName name="solver_rhs12" localSheetId="0" hidden="1">Markowitz!$C$278</definedName>
    <definedName name="solver_rhs120" localSheetId="0" hidden="1">Markowitz!$C$278</definedName>
    <definedName name="solver_rhs121" localSheetId="0" hidden="1">Markowitz!$C$278</definedName>
    <definedName name="solver_rhs122" localSheetId="0" hidden="1">Markowitz!$C$278</definedName>
    <definedName name="solver_rhs123" localSheetId="0" hidden="1">Markowitz!$C$278</definedName>
    <definedName name="solver_rhs124" localSheetId="0" hidden="1">Markowitz!$C$278</definedName>
    <definedName name="solver_rhs125" localSheetId="0" hidden="1">Markowitz!$C$278</definedName>
    <definedName name="solver_rhs126" localSheetId="0" hidden="1">Markowitz!$C$278</definedName>
    <definedName name="solver_rhs127" localSheetId="0" hidden="1">Markowitz!$C$278</definedName>
    <definedName name="solver_rhs128" localSheetId="0" hidden="1">Markowitz!$C$278</definedName>
    <definedName name="solver_rhs129" localSheetId="0" hidden="1">Markowitz!$C$278</definedName>
    <definedName name="solver_rhs13" localSheetId="0" hidden="1">Markowitz!$C$278</definedName>
    <definedName name="solver_rhs130" localSheetId="0" hidden="1">Markowitz!$C$278</definedName>
    <definedName name="solver_rhs131" localSheetId="0" hidden="1">Markowitz!$C$278</definedName>
    <definedName name="solver_rhs132" localSheetId="0" hidden="1">Markowitz!$C$278</definedName>
    <definedName name="solver_rhs133" localSheetId="0" hidden="1">Markowitz!$C$278</definedName>
    <definedName name="solver_rhs134" localSheetId="0" hidden="1">Markowitz!$C$278</definedName>
    <definedName name="solver_rhs135" localSheetId="0" hidden="1">Markowitz!$C$278</definedName>
    <definedName name="solver_rhs136" localSheetId="0" hidden="1">Markowitz!$C$278</definedName>
    <definedName name="solver_rhs137" localSheetId="0" hidden="1">Markowitz!$C$278</definedName>
    <definedName name="solver_rhs138" localSheetId="0" hidden="1">Markowitz!$C$278</definedName>
    <definedName name="solver_rhs139" localSheetId="0" hidden="1">Markowitz!$C$278</definedName>
    <definedName name="solver_rhs14" localSheetId="0" hidden="1">Markowitz!$C$278</definedName>
    <definedName name="solver_rhs140" localSheetId="0" hidden="1">Markowitz!$C$278</definedName>
    <definedName name="solver_rhs141" localSheetId="0" hidden="1">Markowitz!$C$278</definedName>
    <definedName name="solver_rhs142" localSheetId="0" hidden="1">Markowitz!$C$278</definedName>
    <definedName name="solver_rhs143" localSheetId="0" hidden="1">Markowitz!$C$278</definedName>
    <definedName name="solver_rhs144" localSheetId="0" hidden="1">Markowitz!$C$278</definedName>
    <definedName name="solver_rhs145" localSheetId="0" hidden="1">Markowitz!$C$278</definedName>
    <definedName name="solver_rhs146" localSheetId="0" hidden="1">Markowitz!$C$278</definedName>
    <definedName name="solver_rhs147" localSheetId="0" hidden="1">Markowitz!$C$278</definedName>
    <definedName name="solver_rhs148" localSheetId="0" hidden="1">Markowitz!$C$278</definedName>
    <definedName name="solver_rhs149" localSheetId="0" hidden="1">Markowitz!$C$278</definedName>
    <definedName name="solver_rhs15" localSheetId="0" hidden="1">Markowitz!$C$278</definedName>
    <definedName name="solver_rhs150" localSheetId="0" hidden="1">Markowitz!$C$278</definedName>
    <definedName name="solver_rhs151" localSheetId="0" hidden="1">Markowitz!$C$278</definedName>
    <definedName name="solver_rhs152" localSheetId="0" hidden="1">Markowitz!$C$278</definedName>
    <definedName name="solver_rhs153" localSheetId="0" hidden="1">1</definedName>
    <definedName name="solver_rhs154" localSheetId="0" hidden="1">Markowitz!$C$278</definedName>
    <definedName name="solver_rhs155" localSheetId="0" hidden="1">1</definedName>
    <definedName name="solver_rhs156" localSheetId="0" hidden="1">1</definedName>
    <definedName name="solver_rhs157" localSheetId="0" hidden="1">1</definedName>
    <definedName name="solver_rhs158" localSheetId="0" hidden="1">1</definedName>
    <definedName name="solver_rhs159" localSheetId="0" hidden="1">1</definedName>
    <definedName name="solver_rhs16" localSheetId="0" hidden="1">Markowitz!$C$278</definedName>
    <definedName name="solver_rhs160" localSheetId="0" hidden="1">1</definedName>
    <definedName name="solver_rhs161" localSheetId="0" hidden="1">1</definedName>
    <definedName name="solver_rhs162" localSheetId="0" hidden="1">1</definedName>
    <definedName name="solver_rhs163" localSheetId="0" hidden="1">1</definedName>
    <definedName name="solver_rhs164" localSheetId="0" hidden="1">1</definedName>
    <definedName name="solver_rhs165" localSheetId="0" hidden="1">1</definedName>
    <definedName name="solver_rhs166" localSheetId="0" hidden="1">1</definedName>
    <definedName name="solver_rhs167" localSheetId="0" hidden="1">1</definedName>
    <definedName name="solver_rhs168" localSheetId="0" hidden="1">1</definedName>
    <definedName name="solver_rhs169" localSheetId="0" hidden="1">1</definedName>
    <definedName name="solver_rhs17" localSheetId="0" hidden="1">Markowitz!$C$278</definedName>
    <definedName name="solver_rhs170" localSheetId="0" hidden="1">1</definedName>
    <definedName name="solver_rhs171" localSheetId="0" hidden="1">1</definedName>
    <definedName name="solver_rhs172" localSheetId="0" hidden="1">1</definedName>
    <definedName name="solver_rhs173" localSheetId="0" hidden="1">1</definedName>
    <definedName name="solver_rhs174" localSheetId="0" hidden="1">1</definedName>
    <definedName name="solver_rhs175" localSheetId="0" hidden="1">1</definedName>
    <definedName name="solver_rhs176" localSheetId="0" hidden="1">1</definedName>
    <definedName name="solver_rhs177" localSheetId="0" hidden="1">1</definedName>
    <definedName name="solver_rhs178" localSheetId="0" hidden="1">1</definedName>
    <definedName name="solver_rhs179" localSheetId="0" hidden="1">1</definedName>
    <definedName name="solver_rhs18" localSheetId="0" hidden="1">Markowitz!$C$278</definedName>
    <definedName name="solver_rhs180" localSheetId="0" hidden="1">1</definedName>
    <definedName name="solver_rhs181" localSheetId="0" hidden="1">1</definedName>
    <definedName name="solver_rhs182" localSheetId="0" hidden="1">1</definedName>
    <definedName name="solver_rhs183" localSheetId="0" hidden="1">1</definedName>
    <definedName name="solver_rhs184" localSheetId="0" hidden="1">1</definedName>
    <definedName name="solver_rhs185" localSheetId="0" hidden="1">1</definedName>
    <definedName name="solver_rhs186" localSheetId="0" hidden="1">1</definedName>
    <definedName name="solver_rhs187" localSheetId="0" hidden="1">1</definedName>
    <definedName name="solver_rhs188" localSheetId="0" hidden="1">1</definedName>
    <definedName name="solver_rhs189" localSheetId="0" hidden="1">1</definedName>
    <definedName name="solver_rhs19" localSheetId="0" hidden="1">Markowitz!$C$278</definedName>
    <definedName name="solver_rhs190" localSheetId="0" hidden="1">1</definedName>
    <definedName name="solver_rhs191" localSheetId="0" hidden="1">1</definedName>
    <definedName name="solver_rhs192" localSheetId="0" hidden="1">1</definedName>
    <definedName name="solver_rhs193" localSheetId="0" hidden="1">1</definedName>
    <definedName name="solver_rhs194" localSheetId="0" hidden="1">1</definedName>
    <definedName name="solver_rhs195" localSheetId="0" hidden="1">1</definedName>
    <definedName name="solver_rhs196" localSheetId="0" hidden="1">1</definedName>
    <definedName name="solver_rhs197" localSheetId="0" hidden="1">1</definedName>
    <definedName name="solver_rhs198" localSheetId="0" hidden="1">1</definedName>
    <definedName name="solver_rhs199" localSheetId="0" hidden="1">1</definedName>
    <definedName name="solver_rhs2" localSheetId="0" hidden="1">Markowitz!$C$278</definedName>
    <definedName name="solver_rhs20" localSheetId="0" hidden="1">Markowitz!$C$278</definedName>
    <definedName name="solver_rhs200" localSheetId="0" hidden="1">1</definedName>
    <definedName name="solver_rhs201" localSheetId="0" hidden="1">1</definedName>
    <definedName name="solver_rhs202" localSheetId="0" hidden="1">1</definedName>
    <definedName name="solver_rhs203" localSheetId="0" hidden="1">1</definedName>
    <definedName name="solver_rhs204" localSheetId="0" hidden="1">1</definedName>
    <definedName name="solver_rhs205" localSheetId="0" hidden="1">1</definedName>
    <definedName name="solver_rhs206" localSheetId="0" hidden="1">1</definedName>
    <definedName name="solver_rhs207" localSheetId="0" hidden="1">1</definedName>
    <definedName name="solver_rhs208" localSheetId="0" hidden="1">1</definedName>
    <definedName name="solver_rhs209" localSheetId="0" hidden="1">1</definedName>
    <definedName name="solver_rhs21" localSheetId="0" hidden="1">Markowitz!$C$278</definedName>
    <definedName name="solver_rhs210" localSheetId="0" hidden="1">1</definedName>
    <definedName name="solver_rhs211" localSheetId="0" hidden="1">1</definedName>
    <definedName name="solver_rhs212" localSheetId="0" hidden="1">1</definedName>
    <definedName name="solver_rhs213" localSheetId="0" hidden="1">1</definedName>
    <definedName name="solver_rhs214" localSheetId="0" hidden="1">1</definedName>
    <definedName name="solver_rhs215" localSheetId="0" hidden="1">1</definedName>
    <definedName name="solver_rhs216" localSheetId="0" hidden="1">1</definedName>
    <definedName name="solver_rhs217" localSheetId="0" hidden="1">1</definedName>
    <definedName name="solver_rhs218" localSheetId="0" hidden="1">1</definedName>
    <definedName name="solver_rhs219" localSheetId="0" hidden="1">1</definedName>
    <definedName name="solver_rhs22" localSheetId="0" hidden="1">Markowitz!$C$278</definedName>
    <definedName name="solver_rhs220" localSheetId="0" hidden="1">1</definedName>
    <definedName name="solver_rhs221" localSheetId="0" hidden="1">1</definedName>
    <definedName name="solver_rhs222" localSheetId="0" hidden="1">1</definedName>
    <definedName name="solver_rhs223" localSheetId="0" hidden="1">1</definedName>
    <definedName name="solver_rhs224" localSheetId="0" hidden="1">1</definedName>
    <definedName name="solver_rhs225" localSheetId="0" hidden="1">1</definedName>
    <definedName name="solver_rhs226" localSheetId="0" hidden="1">1</definedName>
    <definedName name="solver_rhs227" localSheetId="0" hidden="1">1</definedName>
    <definedName name="solver_rhs228" localSheetId="0" hidden="1">1</definedName>
    <definedName name="solver_rhs229" localSheetId="0" hidden="1">1</definedName>
    <definedName name="solver_rhs23" localSheetId="0" hidden="1">Markowitz!$C$278</definedName>
    <definedName name="solver_rhs230" localSheetId="0" hidden="1">1</definedName>
    <definedName name="solver_rhs231" localSheetId="0" hidden="1">1</definedName>
    <definedName name="solver_rhs232" localSheetId="0" hidden="1">1</definedName>
    <definedName name="solver_rhs233" localSheetId="0" hidden="1">1</definedName>
    <definedName name="solver_rhs234" localSheetId="0" hidden="1">1</definedName>
    <definedName name="solver_rhs235" localSheetId="0" hidden="1">1</definedName>
    <definedName name="solver_rhs236" localSheetId="0" hidden="1">1</definedName>
    <definedName name="solver_rhs237" localSheetId="0" hidden="1">1</definedName>
    <definedName name="solver_rhs238" localSheetId="0" hidden="1">1</definedName>
    <definedName name="solver_rhs239" localSheetId="0" hidden="1">1</definedName>
    <definedName name="solver_rhs24" localSheetId="0" hidden="1">Markowitz!$C$278</definedName>
    <definedName name="solver_rhs240" localSheetId="0" hidden="1">1</definedName>
    <definedName name="solver_rhs241" localSheetId="0" hidden="1">1</definedName>
    <definedName name="solver_rhs242" localSheetId="0" hidden="1">1</definedName>
    <definedName name="solver_rhs243" localSheetId="0" hidden="1">1</definedName>
    <definedName name="solver_rhs244" localSheetId="0" hidden="1">1</definedName>
    <definedName name="solver_rhs245" localSheetId="0" hidden="1">1</definedName>
    <definedName name="solver_rhs246" localSheetId="0" hidden="1">1</definedName>
    <definedName name="solver_rhs247" localSheetId="0" hidden="1">1</definedName>
    <definedName name="solver_rhs248" localSheetId="0" hidden="1">1</definedName>
    <definedName name="solver_rhs249" localSheetId="0" hidden="1">1</definedName>
    <definedName name="solver_rhs25" localSheetId="0" hidden="1">Markowitz!$C$278</definedName>
    <definedName name="solver_rhs250" localSheetId="0" hidden="1">1</definedName>
    <definedName name="solver_rhs251" localSheetId="0" hidden="1">1</definedName>
    <definedName name="solver_rhs252" localSheetId="0" hidden="1">1</definedName>
    <definedName name="solver_rhs253" localSheetId="0" hidden="1">1</definedName>
    <definedName name="solver_rhs254" localSheetId="0" hidden="1">1</definedName>
    <definedName name="solver_rhs255" localSheetId="0" hidden="1">1</definedName>
    <definedName name="solver_rhs256" localSheetId="0" hidden="1">1</definedName>
    <definedName name="solver_rhs257" localSheetId="0" hidden="1">1</definedName>
    <definedName name="solver_rhs258" localSheetId="0" hidden="1">1</definedName>
    <definedName name="solver_rhs259" localSheetId="0" hidden="1">1</definedName>
    <definedName name="solver_rhs26" localSheetId="0" hidden="1">Markowitz!$C$278</definedName>
    <definedName name="solver_rhs260" localSheetId="0" hidden="1">1</definedName>
    <definedName name="solver_rhs261" localSheetId="0" hidden="1">1</definedName>
    <definedName name="solver_rhs262" localSheetId="0" hidden="1">1</definedName>
    <definedName name="solver_rhs263" localSheetId="0" hidden="1">1</definedName>
    <definedName name="solver_rhs264" localSheetId="0" hidden="1">1</definedName>
    <definedName name="solver_rhs265" localSheetId="0" hidden="1">1</definedName>
    <definedName name="solver_rhs266" localSheetId="0" hidden="1">1</definedName>
    <definedName name="solver_rhs267" localSheetId="0" hidden="1">1</definedName>
    <definedName name="solver_rhs268" localSheetId="0" hidden="1">1</definedName>
    <definedName name="solver_rhs269" localSheetId="0" hidden="1">1</definedName>
    <definedName name="solver_rhs27" localSheetId="0" hidden="1">Markowitz!$C$278</definedName>
    <definedName name="solver_rhs270" localSheetId="0" hidden="1">1</definedName>
    <definedName name="solver_rhs271" localSheetId="0" hidden="1">1</definedName>
    <definedName name="solver_rhs272" localSheetId="0" hidden="1">1</definedName>
    <definedName name="solver_rhs273" localSheetId="0" hidden="1">1</definedName>
    <definedName name="solver_rhs274" localSheetId="0" hidden="1">1</definedName>
    <definedName name="solver_rhs275" localSheetId="0" hidden="1">1</definedName>
    <definedName name="solver_rhs276" localSheetId="0" hidden="1">1</definedName>
    <definedName name="solver_rhs277" localSheetId="0" hidden="1">1</definedName>
    <definedName name="solver_rhs278" localSheetId="0" hidden="1">1</definedName>
    <definedName name="solver_rhs279" localSheetId="0" hidden="1">1</definedName>
    <definedName name="solver_rhs28" localSheetId="0" hidden="1">Markowitz!$C$278</definedName>
    <definedName name="solver_rhs280" localSheetId="0" hidden="1">1</definedName>
    <definedName name="solver_rhs281" localSheetId="0" hidden="1">1</definedName>
    <definedName name="solver_rhs282" localSheetId="0" hidden="1">1</definedName>
    <definedName name="solver_rhs283" localSheetId="0" hidden="1">1</definedName>
    <definedName name="solver_rhs284" localSheetId="0" hidden="1">1</definedName>
    <definedName name="solver_rhs285" localSheetId="0" hidden="1">1</definedName>
    <definedName name="solver_rhs286" localSheetId="0" hidden="1">1</definedName>
    <definedName name="solver_rhs287" localSheetId="0" hidden="1">1</definedName>
    <definedName name="solver_rhs288" localSheetId="0" hidden="1">1</definedName>
    <definedName name="solver_rhs289" localSheetId="0" hidden="1">1</definedName>
    <definedName name="solver_rhs29" localSheetId="0" hidden="1">Markowitz!$C$278</definedName>
    <definedName name="solver_rhs290" localSheetId="0" hidden="1">1</definedName>
    <definedName name="solver_rhs291" localSheetId="0" hidden="1">1</definedName>
    <definedName name="solver_rhs292" localSheetId="0" hidden="1">1</definedName>
    <definedName name="solver_rhs293" localSheetId="0" hidden="1">1</definedName>
    <definedName name="solver_rhs294" localSheetId="0" hidden="1">1</definedName>
    <definedName name="solver_rhs295" localSheetId="0" hidden="1">1</definedName>
    <definedName name="solver_rhs296" localSheetId="0" hidden="1">1</definedName>
    <definedName name="solver_rhs297" localSheetId="0" hidden="1">1</definedName>
    <definedName name="solver_rhs298" localSheetId="0" hidden="1">1</definedName>
    <definedName name="solver_rhs299" localSheetId="0" hidden="1">1</definedName>
    <definedName name="solver_rhs3" localSheetId="0" hidden="1">Markowitz!$C$278</definedName>
    <definedName name="solver_rhs30" localSheetId="0" hidden="1">Markowitz!$C$278</definedName>
    <definedName name="solver_rhs300" localSheetId="0" hidden="1">1</definedName>
    <definedName name="solver_rhs301" localSheetId="0" hidden="1">1</definedName>
    <definedName name="solver_rhs302" localSheetId="0" hidden="1">1</definedName>
    <definedName name="solver_rhs303" localSheetId="0" hidden="1">1</definedName>
    <definedName name="solver_rhs304" localSheetId="0" hidden="1">1</definedName>
    <definedName name="solver_rhs305" localSheetId="0" hidden="1">1</definedName>
    <definedName name="solver_rhs306" localSheetId="0" hidden="1">1</definedName>
    <definedName name="solver_rhs307" localSheetId="0" hidden="1">1</definedName>
    <definedName name="solver_rhs308" localSheetId="0" hidden="1">1</definedName>
    <definedName name="solver_rhs31" localSheetId="0" hidden="1">Markowitz!$C$278</definedName>
    <definedName name="solver_rhs32" localSheetId="0" hidden="1">Markowitz!$C$278</definedName>
    <definedName name="solver_rhs33" localSheetId="0" hidden="1">Markowitz!$C$278</definedName>
    <definedName name="solver_rhs34" localSheetId="0" hidden="1">Markowitz!$C$278</definedName>
    <definedName name="solver_rhs35" localSheetId="0" hidden="1">Markowitz!$C$278</definedName>
    <definedName name="solver_rhs36" localSheetId="0" hidden="1">Markowitz!$C$278</definedName>
    <definedName name="solver_rhs37" localSheetId="0" hidden="1">Markowitz!$C$278</definedName>
    <definedName name="solver_rhs38" localSheetId="0" hidden="1">Markowitz!$C$278</definedName>
    <definedName name="solver_rhs39" localSheetId="0" hidden="1">Markowitz!$C$278</definedName>
    <definedName name="solver_rhs4" localSheetId="0" hidden="1">Markowitz!$C$278</definedName>
    <definedName name="solver_rhs40" localSheetId="0" hidden="1">Markowitz!$C$278</definedName>
    <definedName name="solver_rhs41" localSheetId="0" hidden="1">Markowitz!$C$278</definedName>
    <definedName name="solver_rhs42" localSheetId="0" hidden="1">Markowitz!$C$278</definedName>
    <definedName name="solver_rhs43" localSheetId="0" hidden="1">Markowitz!$C$278</definedName>
    <definedName name="solver_rhs44" localSheetId="0" hidden="1">Markowitz!$C$278</definedName>
    <definedName name="solver_rhs45" localSheetId="0" hidden="1">Markowitz!$C$278</definedName>
    <definedName name="solver_rhs46" localSheetId="0" hidden="1">Markowitz!$C$278</definedName>
    <definedName name="solver_rhs47" localSheetId="0" hidden="1">Markowitz!$C$278</definedName>
    <definedName name="solver_rhs48" localSheetId="0" hidden="1">Markowitz!$C$278</definedName>
    <definedName name="solver_rhs49" localSheetId="0" hidden="1">Markowitz!$C$278</definedName>
    <definedName name="solver_rhs5" localSheetId="0" hidden="1">Markowitz!$C$278</definedName>
    <definedName name="solver_rhs50" localSheetId="0" hidden="1">Markowitz!$C$278</definedName>
    <definedName name="solver_rhs51" localSheetId="0" hidden="1">Markowitz!$C$278</definedName>
    <definedName name="solver_rhs52" localSheetId="0" hidden="1">Markowitz!$C$278</definedName>
    <definedName name="solver_rhs53" localSheetId="0" hidden="1">Markowitz!$C$278</definedName>
    <definedName name="solver_rhs54" localSheetId="0" hidden="1">Markowitz!$C$278</definedName>
    <definedName name="solver_rhs55" localSheetId="0" hidden="1">Markowitz!$C$278</definedName>
    <definedName name="solver_rhs56" localSheetId="0" hidden="1">Markowitz!$C$278</definedName>
    <definedName name="solver_rhs57" localSheetId="0" hidden="1">Markowitz!$C$278</definedName>
    <definedName name="solver_rhs58" localSheetId="0" hidden="1">Markowitz!$C$278</definedName>
    <definedName name="solver_rhs59" localSheetId="0" hidden="1">Markowitz!$C$278</definedName>
    <definedName name="solver_rhs6" localSheetId="0" hidden="1">Markowitz!$C$278</definedName>
    <definedName name="solver_rhs60" localSheetId="0" hidden="1">Markowitz!$C$278</definedName>
    <definedName name="solver_rhs61" localSheetId="0" hidden="1">Markowitz!$C$278</definedName>
    <definedName name="solver_rhs62" localSheetId="0" hidden="1">Markowitz!$C$278</definedName>
    <definedName name="solver_rhs63" localSheetId="0" hidden="1">Markowitz!$C$278</definedName>
    <definedName name="solver_rhs64" localSheetId="0" hidden="1">Markowitz!$C$278</definedName>
    <definedName name="solver_rhs65" localSheetId="0" hidden="1">Markowitz!$C$278</definedName>
    <definedName name="solver_rhs66" localSheetId="0" hidden="1">Markowitz!$C$278</definedName>
    <definedName name="solver_rhs67" localSheetId="0" hidden="1">Markowitz!$C$278</definedName>
    <definedName name="solver_rhs68" localSheetId="0" hidden="1">Markowitz!$C$278</definedName>
    <definedName name="solver_rhs69" localSheetId="0" hidden="1">Markowitz!$C$278</definedName>
    <definedName name="solver_rhs7" localSheetId="0" hidden="1">Markowitz!$C$278</definedName>
    <definedName name="solver_rhs70" localSheetId="0" hidden="1">Markowitz!$C$278</definedName>
    <definedName name="solver_rhs71" localSheetId="0" hidden="1">Markowitz!$C$278</definedName>
    <definedName name="solver_rhs72" localSheetId="0" hidden="1">Markowitz!$C$278</definedName>
    <definedName name="solver_rhs73" localSheetId="0" hidden="1">Markowitz!$C$278</definedName>
    <definedName name="solver_rhs74" localSheetId="0" hidden="1">Markowitz!$C$278</definedName>
    <definedName name="solver_rhs75" localSheetId="0" hidden="1">Markowitz!$C$278</definedName>
    <definedName name="solver_rhs76" localSheetId="0" hidden="1">Markowitz!$C$278</definedName>
    <definedName name="solver_rhs77" localSheetId="0" hidden="1">Markowitz!$C$278</definedName>
    <definedName name="solver_rhs78" localSheetId="0" hidden="1">Markowitz!$C$278</definedName>
    <definedName name="solver_rhs79" localSheetId="0" hidden="1">Markowitz!$C$278</definedName>
    <definedName name="solver_rhs8" localSheetId="0" hidden="1">Markowitz!$C$278</definedName>
    <definedName name="solver_rhs80" localSheetId="0" hidden="1">Markowitz!$C$278</definedName>
    <definedName name="solver_rhs81" localSheetId="0" hidden="1">Markowitz!$C$278</definedName>
    <definedName name="solver_rhs82" localSheetId="0" hidden="1">Markowitz!$C$278</definedName>
    <definedName name="solver_rhs83" localSheetId="0" hidden="1">Markowitz!$C$278</definedName>
    <definedName name="solver_rhs84" localSheetId="0" hidden="1">Markowitz!$C$278</definedName>
    <definedName name="solver_rhs85" localSheetId="0" hidden="1">Markowitz!$C$278</definedName>
    <definedName name="solver_rhs86" localSheetId="0" hidden="1">Markowitz!$C$278</definedName>
    <definedName name="solver_rhs87" localSheetId="0" hidden="1">Markowitz!$C$278</definedName>
    <definedName name="solver_rhs88" localSheetId="0" hidden="1">Markowitz!$C$278</definedName>
    <definedName name="solver_rhs89" localSheetId="0" hidden="1">Markowitz!$C$278</definedName>
    <definedName name="solver_rhs9" localSheetId="0" hidden="1">Markowitz!$C$278</definedName>
    <definedName name="solver_rhs90" localSheetId="0" hidden="1">Markowitz!$C$278</definedName>
    <definedName name="solver_rhs91" localSheetId="0" hidden="1">Markowitz!$C$278</definedName>
    <definedName name="solver_rhs92" localSheetId="0" hidden="1">Markowitz!$C$278</definedName>
    <definedName name="solver_rhs93" localSheetId="0" hidden="1">Markowitz!$C$278</definedName>
    <definedName name="solver_rhs94" localSheetId="0" hidden="1">Markowitz!$C$278</definedName>
    <definedName name="solver_rhs95" localSheetId="0" hidden="1">Markowitz!$C$278</definedName>
    <definedName name="solver_rhs96" localSheetId="0" hidden="1">Markowitz!$C$278</definedName>
    <definedName name="solver_rhs97" localSheetId="0" hidden="1">Markowitz!$C$278</definedName>
    <definedName name="solver_rhs98" localSheetId="0" hidden="1">Markowitz!$C$278</definedName>
    <definedName name="solver_rhs99" localSheetId="0" hidden="1">Markowitz!$C$278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1" hidden="1">1</definedName>
    <definedName name="solver_typ" localSheetId="0" hidden="1">2</definedName>
    <definedName name="solver_val" localSheetId="1" hidden="1">0</definedName>
    <definedName name="solver_val" localSheetId="0" hidden="1">0</definedName>
    <definedName name="solver_ver" localSheetId="1" hidden="1">3</definedName>
    <definedName name="solver_ver" localSheetId="0" hidden="1">3</definedName>
  </definedName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2" l="1"/>
  <c r="B2" i="2"/>
  <c r="M273" i="1"/>
  <c r="L273" i="1"/>
  <c r="K273" i="1"/>
  <c r="J273" i="1"/>
  <c r="I273" i="1"/>
  <c r="M272" i="1"/>
  <c r="L272" i="1"/>
  <c r="K272" i="1"/>
  <c r="J272" i="1"/>
  <c r="I272" i="1"/>
  <c r="M271" i="1"/>
  <c r="L271" i="1"/>
  <c r="K271" i="1"/>
  <c r="J271" i="1"/>
  <c r="I271" i="1"/>
  <c r="M270" i="1"/>
  <c r="L270" i="1"/>
  <c r="K270" i="1"/>
  <c r="J270" i="1"/>
  <c r="I270" i="1"/>
  <c r="M269" i="1"/>
  <c r="L269" i="1"/>
  <c r="K269" i="1"/>
  <c r="J269" i="1"/>
  <c r="I269" i="1"/>
  <c r="K265" i="1"/>
  <c r="J265" i="1"/>
  <c r="I265" i="1"/>
  <c r="H265" i="1"/>
  <c r="G265" i="1"/>
  <c r="T268" i="1" l="1"/>
  <c r="S268" i="1"/>
  <c r="R268" i="1"/>
  <c r="Q268" i="1"/>
  <c r="P268" i="1"/>
  <c r="G282" i="1"/>
  <c r="G4" i="1"/>
  <c r="H4" i="1"/>
  <c r="C270" i="1" s="1"/>
  <c r="I4" i="1"/>
  <c r="J4" i="1"/>
  <c r="K4" i="1"/>
  <c r="G5" i="1"/>
  <c r="H5" i="1"/>
  <c r="I5" i="1"/>
  <c r="J5" i="1"/>
  <c r="K5" i="1"/>
  <c r="G6" i="1"/>
  <c r="H6" i="1"/>
  <c r="I6" i="1"/>
  <c r="J6" i="1"/>
  <c r="K6" i="1"/>
  <c r="G7" i="1"/>
  <c r="H7" i="1"/>
  <c r="I7" i="1"/>
  <c r="I264" i="1" s="1"/>
  <c r="J7" i="1"/>
  <c r="K7" i="1"/>
  <c r="G8" i="1"/>
  <c r="H8" i="1"/>
  <c r="I8" i="1"/>
  <c r="J8" i="1"/>
  <c r="K8" i="1"/>
  <c r="G9" i="1"/>
  <c r="H9" i="1"/>
  <c r="I9" i="1"/>
  <c r="J9" i="1"/>
  <c r="K9" i="1"/>
  <c r="G10" i="1"/>
  <c r="H10" i="1"/>
  <c r="I10" i="1"/>
  <c r="J10" i="1"/>
  <c r="K10" i="1"/>
  <c r="G11" i="1"/>
  <c r="H11" i="1"/>
  <c r="I11" i="1"/>
  <c r="J11" i="1"/>
  <c r="K11" i="1"/>
  <c r="G12" i="1"/>
  <c r="H12" i="1"/>
  <c r="I12" i="1"/>
  <c r="J12" i="1"/>
  <c r="K12" i="1"/>
  <c r="G13" i="1"/>
  <c r="H13" i="1"/>
  <c r="I13" i="1"/>
  <c r="J13" i="1"/>
  <c r="K13" i="1"/>
  <c r="G14" i="1"/>
  <c r="H14" i="1"/>
  <c r="I14" i="1"/>
  <c r="J14" i="1"/>
  <c r="K14" i="1"/>
  <c r="G15" i="1"/>
  <c r="H15" i="1"/>
  <c r="I15" i="1"/>
  <c r="J15" i="1"/>
  <c r="K15" i="1"/>
  <c r="G16" i="1"/>
  <c r="H16" i="1"/>
  <c r="I16" i="1"/>
  <c r="J16" i="1"/>
  <c r="K16" i="1"/>
  <c r="G17" i="1"/>
  <c r="H17" i="1"/>
  <c r="I17" i="1"/>
  <c r="J17" i="1"/>
  <c r="K17" i="1"/>
  <c r="G18" i="1"/>
  <c r="H18" i="1"/>
  <c r="I18" i="1"/>
  <c r="J18" i="1"/>
  <c r="K18" i="1"/>
  <c r="G19" i="1"/>
  <c r="H19" i="1"/>
  <c r="I19" i="1"/>
  <c r="J19" i="1"/>
  <c r="K19" i="1"/>
  <c r="G20" i="1"/>
  <c r="H20" i="1"/>
  <c r="I20" i="1"/>
  <c r="J20" i="1"/>
  <c r="K20" i="1"/>
  <c r="G21" i="1"/>
  <c r="H21" i="1"/>
  <c r="I21" i="1"/>
  <c r="J21" i="1"/>
  <c r="K21" i="1"/>
  <c r="G22" i="1"/>
  <c r="H22" i="1"/>
  <c r="I22" i="1"/>
  <c r="J22" i="1"/>
  <c r="K22" i="1"/>
  <c r="G23" i="1"/>
  <c r="H23" i="1"/>
  <c r="I23" i="1"/>
  <c r="J23" i="1"/>
  <c r="K23" i="1"/>
  <c r="G24" i="1"/>
  <c r="H24" i="1"/>
  <c r="I24" i="1"/>
  <c r="J24" i="1"/>
  <c r="K24" i="1"/>
  <c r="G25" i="1"/>
  <c r="H25" i="1"/>
  <c r="I25" i="1"/>
  <c r="J25" i="1"/>
  <c r="K25" i="1"/>
  <c r="G26" i="1"/>
  <c r="H26" i="1"/>
  <c r="I26" i="1"/>
  <c r="J26" i="1"/>
  <c r="K26" i="1"/>
  <c r="G27" i="1"/>
  <c r="H27" i="1"/>
  <c r="I27" i="1"/>
  <c r="J27" i="1"/>
  <c r="K27" i="1"/>
  <c r="G28" i="1"/>
  <c r="H28" i="1"/>
  <c r="I28" i="1"/>
  <c r="J28" i="1"/>
  <c r="K28" i="1"/>
  <c r="G29" i="1"/>
  <c r="H29" i="1"/>
  <c r="I29" i="1"/>
  <c r="J29" i="1"/>
  <c r="K29" i="1"/>
  <c r="G30" i="1"/>
  <c r="H30" i="1"/>
  <c r="I30" i="1"/>
  <c r="J30" i="1"/>
  <c r="K30" i="1"/>
  <c r="G31" i="1"/>
  <c r="H31" i="1"/>
  <c r="I31" i="1"/>
  <c r="J31" i="1"/>
  <c r="K31" i="1"/>
  <c r="G32" i="1"/>
  <c r="H32" i="1"/>
  <c r="I32" i="1"/>
  <c r="J32" i="1"/>
  <c r="K32" i="1"/>
  <c r="G33" i="1"/>
  <c r="H33" i="1"/>
  <c r="I33" i="1"/>
  <c r="J33" i="1"/>
  <c r="K33" i="1"/>
  <c r="G34" i="1"/>
  <c r="H34" i="1"/>
  <c r="I34" i="1"/>
  <c r="J34" i="1"/>
  <c r="K34" i="1"/>
  <c r="G35" i="1"/>
  <c r="H35" i="1"/>
  <c r="I35" i="1"/>
  <c r="J35" i="1"/>
  <c r="K35" i="1"/>
  <c r="G36" i="1"/>
  <c r="H36" i="1"/>
  <c r="I36" i="1"/>
  <c r="J36" i="1"/>
  <c r="K36" i="1"/>
  <c r="G37" i="1"/>
  <c r="H37" i="1"/>
  <c r="I37" i="1"/>
  <c r="J37" i="1"/>
  <c r="K37" i="1"/>
  <c r="G38" i="1"/>
  <c r="H38" i="1"/>
  <c r="I38" i="1"/>
  <c r="J38" i="1"/>
  <c r="K38" i="1"/>
  <c r="G39" i="1"/>
  <c r="H39" i="1"/>
  <c r="I39" i="1"/>
  <c r="J39" i="1"/>
  <c r="K39" i="1"/>
  <c r="G40" i="1"/>
  <c r="H40" i="1"/>
  <c r="I40" i="1"/>
  <c r="J40" i="1"/>
  <c r="K40" i="1"/>
  <c r="G41" i="1"/>
  <c r="H41" i="1"/>
  <c r="I41" i="1"/>
  <c r="J41" i="1"/>
  <c r="K41" i="1"/>
  <c r="G42" i="1"/>
  <c r="H42" i="1"/>
  <c r="I42" i="1"/>
  <c r="J42" i="1"/>
  <c r="K42" i="1"/>
  <c r="G43" i="1"/>
  <c r="H43" i="1"/>
  <c r="I43" i="1"/>
  <c r="J43" i="1"/>
  <c r="K43" i="1"/>
  <c r="G44" i="1"/>
  <c r="H44" i="1"/>
  <c r="I44" i="1"/>
  <c r="J44" i="1"/>
  <c r="K44" i="1"/>
  <c r="G45" i="1"/>
  <c r="H45" i="1"/>
  <c r="I45" i="1"/>
  <c r="J45" i="1"/>
  <c r="K45" i="1"/>
  <c r="G46" i="1"/>
  <c r="H46" i="1"/>
  <c r="I46" i="1"/>
  <c r="J46" i="1"/>
  <c r="K46" i="1"/>
  <c r="G47" i="1"/>
  <c r="H47" i="1"/>
  <c r="I47" i="1"/>
  <c r="J47" i="1"/>
  <c r="K47" i="1"/>
  <c r="G48" i="1"/>
  <c r="H48" i="1"/>
  <c r="I48" i="1"/>
  <c r="J48" i="1"/>
  <c r="K48" i="1"/>
  <c r="G49" i="1"/>
  <c r="H49" i="1"/>
  <c r="I49" i="1"/>
  <c r="J49" i="1"/>
  <c r="K49" i="1"/>
  <c r="G50" i="1"/>
  <c r="H50" i="1"/>
  <c r="I50" i="1"/>
  <c r="J50" i="1"/>
  <c r="K50" i="1"/>
  <c r="G51" i="1"/>
  <c r="H51" i="1"/>
  <c r="I51" i="1"/>
  <c r="J51" i="1"/>
  <c r="K51" i="1"/>
  <c r="G52" i="1"/>
  <c r="H52" i="1"/>
  <c r="I52" i="1"/>
  <c r="J52" i="1"/>
  <c r="K52" i="1"/>
  <c r="G53" i="1"/>
  <c r="H53" i="1"/>
  <c r="I53" i="1"/>
  <c r="J53" i="1"/>
  <c r="K53" i="1"/>
  <c r="G54" i="1"/>
  <c r="H54" i="1"/>
  <c r="I54" i="1"/>
  <c r="J54" i="1"/>
  <c r="K54" i="1"/>
  <c r="G55" i="1"/>
  <c r="H55" i="1"/>
  <c r="I55" i="1"/>
  <c r="J55" i="1"/>
  <c r="K55" i="1"/>
  <c r="G56" i="1"/>
  <c r="H56" i="1"/>
  <c r="I56" i="1"/>
  <c r="J56" i="1"/>
  <c r="K56" i="1"/>
  <c r="G57" i="1"/>
  <c r="H57" i="1"/>
  <c r="I57" i="1"/>
  <c r="J57" i="1"/>
  <c r="K57" i="1"/>
  <c r="G58" i="1"/>
  <c r="H58" i="1"/>
  <c r="I58" i="1"/>
  <c r="J58" i="1"/>
  <c r="K58" i="1"/>
  <c r="G59" i="1"/>
  <c r="H59" i="1"/>
  <c r="I59" i="1"/>
  <c r="J59" i="1"/>
  <c r="K59" i="1"/>
  <c r="G60" i="1"/>
  <c r="H60" i="1"/>
  <c r="I60" i="1"/>
  <c r="J60" i="1"/>
  <c r="K60" i="1"/>
  <c r="G61" i="1"/>
  <c r="H61" i="1"/>
  <c r="I61" i="1"/>
  <c r="J61" i="1"/>
  <c r="K61" i="1"/>
  <c r="G62" i="1"/>
  <c r="H62" i="1"/>
  <c r="I62" i="1"/>
  <c r="J62" i="1"/>
  <c r="K62" i="1"/>
  <c r="G63" i="1"/>
  <c r="H63" i="1"/>
  <c r="I63" i="1"/>
  <c r="J63" i="1"/>
  <c r="K63" i="1"/>
  <c r="G64" i="1"/>
  <c r="H64" i="1"/>
  <c r="I64" i="1"/>
  <c r="J64" i="1"/>
  <c r="K64" i="1"/>
  <c r="G65" i="1"/>
  <c r="H65" i="1"/>
  <c r="I65" i="1"/>
  <c r="J65" i="1"/>
  <c r="K65" i="1"/>
  <c r="G66" i="1"/>
  <c r="H66" i="1"/>
  <c r="I66" i="1"/>
  <c r="J66" i="1"/>
  <c r="K66" i="1"/>
  <c r="G67" i="1"/>
  <c r="H67" i="1"/>
  <c r="I67" i="1"/>
  <c r="J67" i="1"/>
  <c r="K67" i="1"/>
  <c r="G68" i="1"/>
  <c r="H68" i="1"/>
  <c r="I68" i="1"/>
  <c r="J68" i="1"/>
  <c r="K68" i="1"/>
  <c r="G69" i="1"/>
  <c r="H69" i="1"/>
  <c r="I69" i="1"/>
  <c r="J69" i="1"/>
  <c r="K69" i="1"/>
  <c r="G70" i="1"/>
  <c r="H70" i="1"/>
  <c r="I70" i="1"/>
  <c r="J70" i="1"/>
  <c r="K70" i="1"/>
  <c r="G71" i="1"/>
  <c r="H71" i="1"/>
  <c r="I71" i="1"/>
  <c r="J71" i="1"/>
  <c r="K71" i="1"/>
  <c r="G72" i="1"/>
  <c r="H72" i="1"/>
  <c r="I72" i="1"/>
  <c r="J72" i="1"/>
  <c r="K72" i="1"/>
  <c r="G73" i="1"/>
  <c r="H73" i="1"/>
  <c r="I73" i="1"/>
  <c r="J73" i="1"/>
  <c r="K73" i="1"/>
  <c r="G74" i="1"/>
  <c r="H74" i="1"/>
  <c r="I74" i="1"/>
  <c r="J74" i="1"/>
  <c r="K74" i="1"/>
  <c r="G75" i="1"/>
  <c r="H75" i="1"/>
  <c r="I75" i="1"/>
  <c r="J75" i="1"/>
  <c r="K75" i="1"/>
  <c r="G76" i="1"/>
  <c r="H76" i="1"/>
  <c r="I76" i="1"/>
  <c r="J76" i="1"/>
  <c r="K76" i="1"/>
  <c r="G77" i="1"/>
  <c r="H77" i="1"/>
  <c r="I77" i="1"/>
  <c r="J77" i="1"/>
  <c r="K77" i="1"/>
  <c r="G78" i="1"/>
  <c r="H78" i="1"/>
  <c r="I78" i="1"/>
  <c r="J78" i="1"/>
  <c r="K78" i="1"/>
  <c r="G79" i="1"/>
  <c r="H79" i="1"/>
  <c r="I79" i="1"/>
  <c r="J79" i="1"/>
  <c r="K79" i="1"/>
  <c r="G80" i="1"/>
  <c r="H80" i="1"/>
  <c r="I80" i="1"/>
  <c r="J80" i="1"/>
  <c r="K80" i="1"/>
  <c r="G81" i="1"/>
  <c r="H81" i="1"/>
  <c r="I81" i="1"/>
  <c r="J81" i="1"/>
  <c r="K81" i="1"/>
  <c r="G82" i="1"/>
  <c r="H82" i="1"/>
  <c r="I82" i="1"/>
  <c r="J82" i="1"/>
  <c r="K82" i="1"/>
  <c r="G83" i="1"/>
  <c r="H83" i="1"/>
  <c r="I83" i="1"/>
  <c r="J83" i="1"/>
  <c r="K83" i="1"/>
  <c r="G84" i="1"/>
  <c r="H84" i="1"/>
  <c r="I84" i="1"/>
  <c r="J84" i="1"/>
  <c r="K84" i="1"/>
  <c r="G85" i="1"/>
  <c r="H85" i="1"/>
  <c r="I85" i="1"/>
  <c r="J85" i="1"/>
  <c r="K85" i="1"/>
  <c r="G86" i="1"/>
  <c r="H86" i="1"/>
  <c r="I86" i="1"/>
  <c r="J86" i="1"/>
  <c r="K86" i="1"/>
  <c r="G87" i="1"/>
  <c r="H87" i="1"/>
  <c r="I87" i="1"/>
  <c r="J87" i="1"/>
  <c r="K87" i="1"/>
  <c r="G88" i="1"/>
  <c r="H88" i="1"/>
  <c r="I88" i="1"/>
  <c r="J88" i="1"/>
  <c r="K88" i="1"/>
  <c r="G89" i="1"/>
  <c r="H89" i="1"/>
  <c r="I89" i="1"/>
  <c r="J89" i="1"/>
  <c r="K89" i="1"/>
  <c r="G90" i="1"/>
  <c r="H90" i="1"/>
  <c r="I90" i="1"/>
  <c r="J90" i="1"/>
  <c r="K90" i="1"/>
  <c r="G91" i="1"/>
  <c r="H91" i="1"/>
  <c r="I91" i="1"/>
  <c r="J91" i="1"/>
  <c r="K91" i="1"/>
  <c r="G92" i="1"/>
  <c r="H92" i="1"/>
  <c r="I92" i="1"/>
  <c r="J92" i="1"/>
  <c r="K92" i="1"/>
  <c r="G93" i="1"/>
  <c r="H93" i="1"/>
  <c r="I93" i="1"/>
  <c r="J93" i="1"/>
  <c r="K93" i="1"/>
  <c r="G94" i="1"/>
  <c r="H94" i="1"/>
  <c r="I94" i="1"/>
  <c r="J94" i="1"/>
  <c r="K94" i="1"/>
  <c r="G95" i="1"/>
  <c r="H95" i="1"/>
  <c r="I95" i="1"/>
  <c r="J95" i="1"/>
  <c r="K95" i="1"/>
  <c r="G96" i="1"/>
  <c r="H96" i="1"/>
  <c r="I96" i="1"/>
  <c r="J96" i="1"/>
  <c r="K96" i="1"/>
  <c r="G97" i="1"/>
  <c r="H97" i="1"/>
  <c r="I97" i="1"/>
  <c r="J97" i="1"/>
  <c r="K97" i="1"/>
  <c r="G98" i="1"/>
  <c r="H98" i="1"/>
  <c r="I98" i="1"/>
  <c r="J98" i="1"/>
  <c r="K98" i="1"/>
  <c r="G99" i="1"/>
  <c r="H99" i="1"/>
  <c r="I99" i="1"/>
  <c r="J99" i="1"/>
  <c r="K99" i="1"/>
  <c r="G100" i="1"/>
  <c r="H100" i="1"/>
  <c r="I100" i="1"/>
  <c r="J100" i="1"/>
  <c r="K100" i="1"/>
  <c r="G101" i="1"/>
  <c r="H101" i="1"/>
  <c r="I101" i="1"/>
  <c r="J101" i="1"/>
  <c r="K101" i="1"/>
  <c r="G102" i="1"/>
  <c r="H102" i="1"/>
  <c r="I102" i="1"/>
  <c r="J102" i="1"/>
  <c r="K102" i="1"/>
  <c r="G103" i="1"/>
  <c r="H103" i="1"/>
  <c r="I103" i="1"/>
  <c r="J103" i="1"/>
  <c r="K103" i="1"/>
  <c r="G104" i="1"/>
  <c r="H104" i="1"/>
  <c r="I104" i="1"/>
  <c r="J104" i="1"/>
  <c r="K104" i="1"/>
  <c r="G105" i="1"/>
  <c r="H105" i="1"/>
  <c r="I105" i="1"/>
  <c r="J105" i="1"/>
  <c r="K105" i="1"/>
  <c r="G106" i="1"/>
  <c r="H106" i="1"/>
  <c r="I106" i="1"/>
  <c r="J106" i="1"/>
  <c r="K106" i="1"/>
  <c r="G107" i="1"/>
  <c r="H107" i="1"/>
  <c r="I107" i="1"/>
  <c r="J107" i="1"/>
  <c r="K107" i="1"/>
  <c r="G108" i="1"/>
  <c r="H108" i="1"/>
  <c r="I108" i="1"/>
  <c r="J108" i="1"/>
  <c r="K108" i="1"/>
  <c r="G109" i="1"/>
  <c r="H109" i="1"/>
  <c r="I109" i="1"/>
  <c r="J109" i="1"/>
  <c r="K109" i="1"/>
  <c r="G110" i="1"/>
  <c r="H110" i="1"/>
  <c r="I110" i="1"/>
  <c r="J110" i="1"/>
  <c r="K110" i="1"/>
  <c r="G111" i="1"/>
  <c r="H111" i="1"/>
  <c r="I111" i="1"/>
  <c r="J111" i="1"/>
  <c r="K111" i="1"/>
  <c r="G112" i="1"/>
  <c r="H112" i="1"/>
  <c r="I112" i="1"/>
  <c r="J112" i="1"/>
  <c r="K112" i="1"/>
  <c r="G113" i="1"/>
  <c r="H113" i="1"/>
  <c r="I113" i="1"/>
  <c r="J113" i="1"/>
  <c r="K113" i="1"/>
  <c r="G114" i="1"/>
  <c r="H114" i="1"/>
  <c r="I114" i="1"/>
  <c r="J114" i="1"/>
  <c r="K114" i="1"/>
  <c r="G115" i="1"/>
  <c r="H115" i="1"/>
  <c r="I115" i="1"/>
  <c r="J115" i="1"/>
  <c r="K115" i="1"/>
  <c r="G116" i="1"/>
  <c r="H116" i="1"/>
  <c r="I116" i="1"/>
  <c r="J116" i="1"/>
  <c r="K116" i="1"/>
  <c r="G117" i="1"/>
  <c r="H117" i="1"/>
  <c r="I117" i="1"/>
  <c r="J117" i="1"/>
  <c r="K117" i="1"/>
  <c r="G118" i="1"/>
  <c r="H118" i="1"/>
  <c r="I118" i="1"/>
  <c r="J118" i="1"/>
  <c r="K118" i="1"/>
  <c r="G119" i="1"/>
  <c r="H119" i="1"/>
  <c r="I119" i="1"/>
  <c r="J119" i="1"/>
  <c r="K119" i="1"/>
  <c r="G120" i="1"/>
  <c r="H120" i="1"/>
  <c r="I120" i="1"/>
  <c r="J120" i="1"/>
  <c r="K120" i="1"/>
  <c r="G121" i="1"/>
  <c r="H121" i="1"/>
  <c r="I121" i="1"/>
  <c r="J121" i="1"/>
  <c r="K121" i="1"/>
  <c r="G122" i="1"/>
  <c r="H122" i="1"/>
  <c r="I122" i="1"/>
  <c r="J122" i="1"/>
  <c r="K122" i="1"/>
  <c r="G123" i="1"/>
  <c r="H123" i="1"/>
  <c r="I123" i="1"/>
  <c r="J123" i="1"/>
  <c r="K123" i="1"/>
  <c r="G124" i="1"/>
  <c r="H124" i="1"/>
  <c r="I124" i="1"/>
  <c r="J124" i="1"/>
  <c r="K124" i="1"/>
  <c r="G125" i="1"/>
  <c r="H125" i="1"/>
  <c r="I125" i="1"/>
  <c r="J125" i="1"/>
  <c r="K125" i="1"/>
  <c r="G126" i="1"/>
  <c r="H126" i="1"/>
  <c r="I126" i="1"/>
  <c r="J126" i="1"/>
  <c r="K126" i="1"/>
  <c r="G127" i="1"/>
  <c r="H127" i="1"/>
  <c r="I127" i="1"/>
  <c r="J127" i="1"/>
  <c r="K127" i="1"/>
  <c r="G128" i="1"/>
  <c r="H128" i="1"/>
  <c r="I128" i="1"/>
  <c r="J128" i="1"/>
  <c r="K128" i="1"/>
  <c r="G129" i="1"/>
  <c r="H129" i="1"/>
  <c r="I129" i="1"/>
  <c r="J129" i="1"/>
  <c r="K129" i="1"/>
  <c r="G130" i="1"/>
  <c r="H130" i="1"/>
  <c r="I130" i="1"/>
  <c r="J130" i="1"/>
  <c r="K130" i="1"/>
  <c r="G131" i="1"/>
  <c r="H131" i="1"/>
  <c r="I131" i="1"/>
  <c r="J131" i="1"/>
  <c r="K131" i="1"/>
  <c r="G132" i="1"/>
  <c r="H132" i="1"/>
  <c r="I132" i="1"/>
  <c r="J132" i="1"/>
  <c r="K132" i="1"/>
  <c r="G133" i="1"/>
  <c r="H133" i="1"/>
  <c r="I133" i="1"/>
  <c r="J133" i="1"/>
  <c r="K133" i="1"/>
  <c r="G134" i="1"/>
  <c r="H134" i="1"/>
  <c r="I134" i="1"/>
  <c r="J134" i="1"/>
  <c r="K134" i="1"/>
  <c r="G135" i="1"/>
  <c r="H135" i="1"/>
  <c r="I135" i="1"/>
  <c r="J135" i="1"/>
  <c r="K135" i="1"/>
  <c r="G136" i="1"/>
  <c r="H136" i="1"/>
  <c r="I136" i="1"/>
  <c r="J136" i="1"/>
  <c r="K136" i="1"/>
  <c r="G137" i="1"/>
  <c r="H137" i="1"/>
  <c r="I137" i="1"/>
  <c r="J137" i="1"/>
  <c r="K137" i="1"/>
  <c r="G138" i="1"/>
  <c r="H138" i="1"/>
  <c r="I138" i="1"/>
  <c r="J138" i="1"/>
  <c r="K138" i="1"/>
  <c r="G139" i="1"/>
  <c r="H139" i="1"/>
  <c r="I139" i="1"/>
  <c r="J139" i="1"/>
  <c r="K139" i="1"/>
  <c r="G140" i="1"/>
  <c r="H140" i="1"/>
  <c r="I140" i="1"/>
  <c r="J140" i="1"/>
  <c r="K140" i="1"/>
  <c r="G141" i="1"/>
  <c r="H141" i="1"/>
  <c r="I141" i="1"/>
  <c r="J141" i="1"/>
  <c r="K141" i="1"/>
  <c r="G142" i="1"/>
  <c r="H142" i="1"/>
  <c r="I142" i="1"/>
  <c r="J142" i="1"/>
  <c r="K142" i="1"/>
  <c r="G143" i="1"/>
  <c r="H143" i="1"/>
  <c r="I143" i="1"/>
  <c r="J143" i="1"/>
  <c r="K143" i="1"/>
  <c r="G144" i="1"/>
  <c r="H144" i="1"/>
  <c r="I144" i="1"/>
  <c r="J144" i="1"/>
  <c r="K144" i="1"/>
  <c r="G145" i="1"/>
  <c r="H145" i="1"/>
  <c r="I145" i="1"/>
  <c r="J145" i="1"/>
  <c r="K145" i="1"/>
  <c r="G146" i="1"/>
  <c r="H146" i="1"/>
  <c r="I146" i="1"/>
  <c r="J146" i="1"/>
  <c r="K146" i="1"/>
  <c r="G147" i="1"/>
  <c r="H147" i="1"/>
  <c r="I147" i="1"/>
  <c r="J147" i="1"/>
  <c r="K147" i="1"/>
  <c r="G148" i="1"/>
  <c r="H148" i="1"/>
  <c r="I148" i="1"/>
  <c r="J148" i="1"/>
  <c r="K148" i="1"/>
  <c r="G149" i="1"/>
  <c r="H149" i="1"/>
  <c r="I149" i="1"/>
  <c r="J149" i="1"/>
  <c r="K149" i="1"/>
  <c r="G150" i="1"/>
  <c r="H150" i="1"/>
  <c r="I150" i="1"/>
  <c r="J150" i="1"/>
  <c r="K150" i="1"/>
  <c r="G151" i="1"/>
  <c r="H151" i="1"/>
  <c r="I151" i="1"/>
  <c r="J151" i="1"/>
  <c r="K151" i="1"/>
  <c r="G152" i="1"/>
  <c r="H152" i="1"/>
  <c r="I152" i="1"/>
  <c r="J152" i="1"/>
  <c r="K152" i="1"/>
  <c r="G153" i="1"/>
  <c r="H153" i="1"/>
  <c r="I153" i="1"/>
  <c r="J153" i="1"/>
  <c r="K153" i="1"/>
  <c r="G154" i="1"/>
  <c r="H154" i="1"/>
  <c r="I154" i="1"/>
  <c r="J154" i="1"/>
  <c r="K154" i="1"/>
  <c r="G155" i="1"/>
  <c r="H155" i="1"/>
  <c r="I155" i="1"/>
  <c r="J155" i="1"/>
  <c r="K155" i="1"/>
  <c r="G156" i="1"/>
  <c r="H156" i="1"/>
  <c r="I156" i="1"/>
  <c r="J156" i="1"/>
  <c r="K156" i="1"/>
  <c r="G157" i="1"/>
  <c r="H157" i="1"/>
  <c r="I157" i="1"/>
  <c r="J157" i="1"/>
  <c r="K157" i="1"/>
  <c r="G158" i="1"/>
  <c r="H158" i="1"/>
  <c r="I158" i="1"/>
  <c r="J158" i="1"/>
  <c r="K158" i="1"/>
  <c r="G159" i="1"/>
  <c r="H159" i="1"/>
  <c r="I159" i="1"/>
  <c r="J159" i="1"/>
  <c r="K159" i="1"/>
  <c r="G160" i="1"/>
  <c r="H160" i="1"/>
  <c r="I160" i="1"/>
  <c r="J160" i="1"/>
  <c r="K160" i="1"/>
  <c r="G161" i="1"/>
  <c r="H161" i="1"/>
  <c r="I161" i="1"/>
  <c r="J161" i="1"/>
  <c r="K161" i="1"/>
  <c r="G162" i="1"/>
  <c r="H162" i="1"/>
  <c r="I162" i="1"/>
  <c r="J162" i="1"/>
  <c r="K162" i="1"/>
  <c r="G163" i="1"/>
  <c r="H163" i="1"/>
  <c r="I163" i="1"/>
  <c r="J163" i="1"/>
  <c r="K163" i="1"/>
  <c r="G164" i="1"/>
  <c r="H164" i="1"/>
  <c r="I164" i="1"/>
  <c r="J164" i="1"/>
  <c r="K164" i="1"/>
  <c r="G165" i="1"/>
  <c r="H165" i="1"/>
  <c r="I165" i="1"/>
  <c r="J165" i="1"/>
  <c r="K165" i="1"/>
  <c r="G166" i="1"/>
  <c r="H166" i="1"/>
  <c r="I166" i="1"/>
  <c r="J166" i="1"/>
  <c r="K166" i="1"/>
  <c r="G167" i="1"/>
  <c r="H167" i="1"/>
  <c r="I167" i="1"/>
  <c r="J167" i="1"/>
  <c r="K167" i="1"/>
  <c r="G168" i="1"/>
  <c r="H168" i="1"/>
  <c r="I168" i="1"/>
  <c r="J168" i="1"/>
  <c r="K168" i="1"/>
  <c r="G169" i="1"/>
  <c r="H169" i="1"/>
  <c r="I169" i="1"/>
  <c r="J169" i="1"/>
  <c r="K169" i="1"/>
  <c r="G170" i="1"/>
  <c r="H170" i="1"/>
  <c r="I170" i="1"/>
  <c r="J170" i="1"/>
  <c r="K170" i="1"/>
  <c r="G171" i="1"/>
  <c r="H171" i="1"/>
  <c r="I171" i="1"/>
  <c r="J171" i="1"/>
  <c r="K171" i="1"/>
  <c r="G172" i="1"/>
  <c r="H172" i="1"/>
  <c r="I172" i="1"/>
  <c r="J172" i="1"/>
  <c r="K172" i="1"/>
  <c r="G173" i="1"/>
  <c r="H173" i="1"/>
  <c r="I173" i="1"/>
  <c r="J173" i="1"/>
  <c r="K173" i="1"/>
  <c r="G174" i="1"/>
  <c r="H174" i="1"/>
  <c r="I174" i="1"/>
  <c r="J174" i="1"/>
  <c r="K174" i="1"/>
  <c r="G175" i="1"/>
  <c r="H175" i="1"/>
  <c r="I175" i="1"/>
  <c r="J175" i="1"/>
  <c r="K175" i="1"/>
  <c r="G176" i="1"/>
  <c r="H176" i="1"/>
  <c r="I176" i="1"/>
  <c r="J176" i="1"/>
  <c r="K176" i="1"/>
  <c r="G177" i="1"/>
  <c r="H177" i="1"/>
  <c r="I177" i="1"/>
  <c r="J177" i="1"/>
  <c r="K177" i="1"/>
  <c r="G178" i="1"/>
  <c r="H178" i="1"/>
  <c r="I178" i="1"/>
  <c r="J178" i="1"/>
  <c r="K178" i="1"/>
  <c r="G179" i="1"/>
  <c r="H179" i="1"/>
  <c r="I179" i="1"/>
  <c r="J179" i="1"/>
  <c r="K179" i="1"/>
  <c r="G180" i="1"/>
  <c r="H180" i="1"/>
  <c r="I180" i="1"/>
  <c r="J180" i="1"/>
  <c r="K180" i="1"/>
  <c r="G181" i="1"/>
  <c r="H181" i="1"/>
  <c r="I181" i="1"/>
  <c r="J181" i="1"/>
  <c r="K181" i="1"/>
  <c r="G182" i="1"/>
  <c r="H182" i="1"/>
  <c r="I182" i="1"/>
  <c r="J182" i="1"/>
  <c r="K182" i="1"/>
  <c r="G183" i="1"/>
  <c r="H183" i="1"/>
  <c r="I183" i="1"/>
  <c r="J183" i="1"/>
  <c r="K183" i="1"/>
  <c r="G184" i="1"/>
  <c r="H184" i="1"/>
  <c r="I184" i="1"/>
  <c r="J184" i="1"/>
  <c r="K184" i="1"/>
  <c r="G185" i="1"/>
  <c r="H185" i="1"/>
  <c r="I185" i="1"/>
  <c r="J185" i="1"/>
  <c r="K185" i="1"/>
  <c r="G186" i="1"/>
  <c r="H186" i="1"/>
  <c r="I186" i="1"/>
  <c r="J186" i="1"/>
  <c r="K186" i="1"/>
  <c r="G187" i="1"/>
  <c r="H187" i="1"/>
  <c r="I187" i="1"/>
  <c r="J187" i="1"/>
  <c r="K187" i="1"/>
  <c r="G188" i="1"/>
  <c r="H188" i="1"/>
  <c r="I188" i="1"/>
  <c r="J188" i="1"/>
  <c r="K188" i="1"/>
  <c r="G189" i="1"/>
  <c r="H189" i="1"/>
  <c r="I189" i="1"/>
  <c r="J189" i="1"/>
  <c r="K189" i="1"/>
  <c r="G190" i="1"/>
  <c r="H190" i="1"/>
  <c r="I190" i="1"/>
  <c r="J190" i="1"/>
  <c r="K190" i="1"/>
  <c r="G191" i="1"/>
  <c r="H191" i="1"/>
  <c r="I191" i="1"/>
  <c r="J191" i="1"/>
  <c r="K191" i="1"/>
  <c r="G192" i="1"/>
  <c r="H192" i="1"/>
  <c r="I192" i="1"/>
  <c r="J192" i="1"/>
  <c r="K192" i="1"/>
  <c r="G193" i="1"/>
  <c r="H193" i="1"/>
  <c r="I193" i="1"/>
  <c r="J193" i="1"/>
  <c r="K193" i="1"/>
  <c r="G194" i="1"/>
  <c r="H194" i="1"/>
  <c r="I194" i="1"/>
  <c r="J194" i="1"/>
  <c r="K194" i="1"/>
  <c r="G195" i="1"/>
  <c r="H195" i="1"/>
  <c r="I195" i="1"/>
  <c r="J195" i="1"/>
  <c r="K195" i="1"/>
  <c r="G196" i="1"/>
  <c r="H196" i="1"/>
  <c r="I196" i="1"/>
  <c r="J196" i="1"/>
  <c r="K196" i="1"/>
  <c r="G197" i="1"/>
  <c r="H197" i="1"/>
  <c r="I197" i="1"/>
  <c r="J197" i="1"/>
  <c r="K197" i="1"/>
  <c r="G198" i="1"/>
  <c r="H198" i="1"/>
  <c r="I198" i="1"/>
  <c r="J198" i="1"/>
  <c r="K198" i="1"/>
  <c r="G199" i="1"/>
  <c r="H199" i="1"/>
  <c r="I199" i="1"/>
  <c r="J199" i="1"/>
  <c r="K199" i="1"/>
  <c r="G200" i="1"/>
  <c r="H200" i="1"/>
  <c r="I200" i="1"/>
  <c r="J200" i="1"/>
  <c r="K200" i="1"/>
  <c r="G201" i="1"/>
  <c r="H201" i="1"/>
  <c r="I201" i="1"/>
  <c r="J201" i="1"/>
  <c r="K201" i="1"/>
  <c r="G202" i="1"/>
  <c r="H202" i="1"/>
  <c r="I202" i="1"/>
  <c r="J202" i="1"/>
  <c r="K202" i="1"/>
  <c r="G203" i="1"/>
  <c r="H203" i="1"/>
  <c r="I203" i="1"/>
  <c r="J203" i="1"/>
  <c r="K203" i="1"/>
  <c r="G204" i="1"/>
  <c r="H204" i="1"/>
  <c r="I204" i="1"/>
  <c r="J204" i="1"/>
  <c r="K204" i="1"/>
  <c r="G205" i="1"/>
  <c r="H205" i="1"/>
  <c r="I205" i="1"/>
  <c r="J205" i="1"/>
  <c r="K205" i="1"/>
  <c r="G206" i="1"/>
  <c r="H206" i="1"/>
  <c r="I206" i="1"/>
  <c r="J206" i="1"/>
  <c r="K206" i="1"/>
  <c r="G207" i="1"/>
  <c r="H207" i="1"/>
  <c r="I207" i="1"/>
  <c r="J207" i="1"/>
  <c r="K207" i="1"/>
  <c r="G208" i="1"/>
  <c r="H208" i="1"/>
  <c r="I208" i="1"/>
  <c r="J208" i="1"/>
  <c r="K208" i="1"/>
  <c r="G209" i="1"/>
  <c r="H209" i="1"/>
  <c r="I209" i="1"/>
  <c r="J209" i="1"/>
  <c r="K209" i="1"/>
  <c r="G210" i="1"/>
  <c r="H210" i="1"/>
  <c r="I210" i="1"/>
  <c r="J210" i="1"/>
  <c r="K210" i="1"/>
  <c r="G211" i="1"/>
  <c r="H211" i="1"/>
  <c r="I211" i="1"/>
  <c r="J211" i="1"/>
  <c r="K211" i="1"/>
  <c r="G212" i="1"/>
  <c r="H212" i="1"/>
  <c r="I212" i="1"/>
  <c r="J212" i="1"/>
  <c r="K212" i="1"/>
  <c r="G213" i="1"/>
  <c r="H213" i="1"/>
  <c r="I213" i="1"/>
  <c r="J213" i="1"/>
  <c r="K213" i="1"/>
  <c r="G214" i="1"/>
  <c r="H214" i="1"/>
  <c r="I214" i="1"/>
  <c r="J214" i="1"/>
  <c r="K214" i="1"/>
  <c r="G215" i="1"/>
  <c r="H215" i="1"/>
  <c r="I215" i="1"/>
  <c r="J215" i="1"/>
  <c r="K215" i="1"/>
  <c r="G216" i="1"/>
  <c r="H216" i="1"/>
  <c r="I216" i="1"/>
  <c r="J216" i="1"/>
  <c r="K216" i="1"/>
  <c r="G217" i="1"/>
  <c r="H217" i="1"/>
  <c r="I217" i="1"/>
  <c r="J217" i="1"/>
  <c r="K217" i="1"/>
  <c r="G218" i="1"/>
  <c r="H218" i="1"/>
  <c r="I218" i="1"/>
  <c r="J218" i="1"/>
  <c r="K218" i="1"/>
  <c r="G219" i="1"/>
  <c r="H219" i="1"/>
  <c r="I219" i="1"/>
  <c r="J219" i="1"/>
  <c r="K219" i="1"/>
  <c r="G220" i="1"/>
  <c r="H220" i="1"/>
  <c r="I220" i="1"/>
  <c r="J220" i="1"/>
  <c r="K220" i="1"/>
  <c r="G221" i="1"/>
  <c r="H221" i="1"/>
  <c r="I221" i="1"/>
  <c r="J221" i="1"/>
  <c r="K221" i="1"/>
  <c r="G222" i="1"/>
  <c r="H222" i="1"/>
  <c r="I222" i="1"/>
  <c r="J222" i="1"/>
  <c r="K222" i="1"/>
  <c r="G223" i="1"/>
  <c r="H223" i="1"/>
  <c r="I223" i="1"/>
  <c r="J223" i="1"/>
  <c r="K223" i="1"/>
  <c r="G224" i="1"/>
  <c r="H224" i="1"/>
  <c r="I224" i="1"/>
  <c r="J224" i="1"/>
  <c r="K224" i="1"/>
  <c r="G225" i="1"/>
  <c r="H225" i="1"/>
  <c r="I225" i="1"/>
  <c r="J225" i="1"/>
  <c r="K225" i="1"/>
  <c r="G226" i="1"/>
  <c r="H226" i="1"/>
  <c r="I226" i="1"/>
  <c r="J226" i="1"/>
  <c r="K226" i="1"/>
  <c r="G227" i="1"/>
  <c r="H227" i="1"/>
  <c r="I227" i="1"/>
  <c r="J227" i="1"/>
  <c r="K227" i="1"/>
  <c r="G228" i="1"/>
  <c r="H228" i="1"/>
  <c r="I228" i="1"/>
  <c r="J228" i="1"/>
  <c r="K228" i="1"/>
  <c r="G229" i="1"/>
  <c r="H229" i="1"/>
  <c r="I229" i="1"/>
  <c r="J229" i="1"/>
  <c r="K229" i="1"/>
  <c r="G230" i="1"/>
  <c r="H230" i="1"/>
  <c r="I230" i="1"/>
  <c r="J230" i="1"/>
  <c r="K230" i="1"/>
  <c r="G231" i="1"/>
  <c r="H231" i="1"/>
  <c r="I231" i="1"/>
  <c r="J231" i="1"/>
  <c r="K231" i="1"/>
  <c r="G232" i="1"/>
  <c r="H232" i="1"/>
  <c r="I232" i="1"/>
  <c r="J232" i="1"/>
  <c r="K232" i="1"/>
  <c r="G233" i="1"/>
  <c r="H233" i="1"/>
  <c r="I233" i="1"/>
  <c r="J233" i="1"/>
  <c r="K233" i="1"/>
  <c r="G234" i="1"/>
  <c r="H234" i="1"/>
  <c r="I234" i="1"/>
  <c r="J234" i="1"/>
  <c r="K234" i="1"/>
  <c r="G235" i="1"/>
  <c r="H235" i="1"/>
  <c r="I235" i="1"/>
  <c r="J235" i="1"/>
  <c r="K235" i="1"/>
  <c r="G236" i="1"/>
  <c r="H236" i="1"/>
  <c r="I236" i="1"/>
  <c r="J236" i="1"/>
  <c r="K236" i="1"/>
  <c r="G237" i="1"/>
  <c r="H237" i="1"/>
  <c r="I237" i="1"/>
  <c r="J237" i="1"/>
  <c r="K237" i="1"/>
  <c r="G238" i="1"/>
  <c r="H238" i="1"/>
  <c r="I238" i="1"/>
  <c r="J238" i="1"/>
  <c r="K238" i="1"/>
  <c r="G239" i="1"/>
  <c r="H239" i="1"/>
  <c r="I239" i="1"/>
  <c r="J239" i="1"/>
  <c r="K239" i="1"/>
  <c r="G240" i="1"/>
  <c r="H240" i="1"/>
  <c r="I240" i="1"/>
  <c r="J240" i="1"/>
  <c r="K240" i="1"/>
  <c r="G241" i="1"/>
  <c r="H241" i="1"/>
  <c r="I241" i="1"/>
  <c r="J241" i="1"/>
  <c r="K241" i="1"/>
  <c r="G242" i="1"/>
  <c r="H242" i="1"/>
  <c r="I242" i="1"/>
  <c r="J242" i="1"/>
  <c r="K242" i="1"/>
  <c r="G243" i="1"/>
  <c r="H243" i="1"/>
  <c r="I243" i="1"/>
  <c r="J243" i="1"/>
  <c r="K243" i="1"/>
  <c r="G244" i="1"/>
  <c r="H244" i="1"/>
  <c r="I244" i="1"/>
  <c r="J244" i="1"/>
  <c r="K244" i="1"/>
  <c r="G245" i="1"/>
  <c r="H245" i="1"/>
  <c r="I245" i="1"/>
  <c r="J245" i="1"/>
  <c r="K245" i="1"/>
  <c r="G246" i="1"/>
  <c r="H246" i="1"/>
  <c r="I246" i="1"/>
  <c r="J246" i="1"/>
  <c r="K246" i="1"/>
  <c r="G247" i="1"/>
  <c r="H247" i="1"/>
  <c r="I247" i="1"/>
  <c r="J247" i="1"/>
  <c r="K247" i="1"/>
  <c r="G248" i="1"/>
  <c r="H248" i="1"/>
  <c r="I248" i="1"/>
  <c r="J248" i="1"/>
  <c r="K248" i="1"/>
  <c r="G249" i="1"/>
  <c r="H249" i="1"/>
  <c r="I249" i="1"/>
  <c r="J249" i="1"/>
  <c r="K249" i="1"/>
  <c r="G250" i="1"/>
  <c r="H250" i="1"/>
  <c r="I250" i="1"/>
  <c r="J250" i="1"/>
  <c r="K250" i="1"/>
  <c r="G251" i="1"/>
  <c r="H251" i="1"/>
  <c r="I251" i="1"/>
  <c r="J251" i="1"/>
  <c r="K251" i="1"/>
  <c r="G252" i="1"/>
  <c r="H252" i="1"/>
  <c r="I252" i="1"/>
  <c r="J252" i="1"/>
  <c r="K252" i="1"/>
  <c r="G253" i="1"/>
  <c r="H253" i="1"/>
  <c r="I253" i="1"/>
  <c r="J253" i="1"/>
  <c r="K253" i="1"/>
  <c r="G254" i="1"/>
  <c r="H254" i="1"/>
  <c r="I254" i="1"/>
  <c r="J254" i="1"/>
  <c r="K254" i="1"/>
  <c r="G255" i="1"/>
  <c r="H255" i="1"/>
  <c r="I255" i="1"/>
  <c r="J255" i="1"/>
  <c r="K255" i="1"/>
  <c r="G256" i="1"/>
  <c r="H256" i="1"/>
  <c r="I256" i="1"/>
  <c r="J256" i="1"/>
  <c r="K256" i="1"/>
  <c r="G257" i="1"/>
  <c r="H257" i="1"/>
  <c r="I257" i="1"/>
  <c r="J257" i="1"/>
  <c r="K257" i="1"/>
  <c r="G258" i="1"/>
  <c r="H258" i="1"/>
  <c r="I258" i="1"/>
  <c r="J258" i="1"/>
  <c r="K258" i="1"/>
  <c r="G259" i="1"/>
  <c r="H259" i="1"/>
  <c r="I259" i="1"/>
  <c r="J259" i="1"/>
  <c r="K259" i="1"/>
  <c r="G260" i="1"/>
  <c r="H260" i="1"/>
  <c r="I260" i="1"/>
  <c r="J260" i="1"/>
  <c r="K260" i="1"/>
  <c r="G261" i="1"/>
  <c r="H261" i="1"/>
  <c r="I261" i="1"/>
  <c r="J261" i="1"/>
  <c r="K261" i="1"/>
  <c r="G262" i="1"/>
  <c r="H262" i="1"/>
  <c r="I262" i="1"/>
  <c r="J262" i="1"/>
  <c r="K262" i="1"/>
  <c r="G263" i="1"/>
  <c r="H263" i="1"/>
  <c r="I263" i="1"/>
  <c r="J263" i="1"/>
  <c r="K263" i="1"/>
  <c r="K3" i="1"/>
  <c r="E273" i="1" s="1"/>
  <c r="J3" i="1"/>
  <c r="F272" i="1" s="1"/>
  <c r="I3" i="1"/>
  <c r="C271" i="1" s="1"/>
  <c r="H3" i="1"/>
  <c r="E270" i="1" s="1"/>
  <c r="G3" i="1"/>
  <c r="E269" i="1" s="1"/>
  <c r="C269" i="1" l="1"/>
  <c r="B270" i="1"/>
  <c r="H264" i="1"/>
  <c r="B269" i="1"/>
  <c r="F269" i="1"/>
  <c r="F270" i="1"/>
  <c r="D271" i="1"/>
  <c r="C272" i="1"/>
  <c r="B273" i="1"/>
  <c r="F273" i="1"/>
  <c r="C273" i="1"/>
  <c r="D272" i="1"/>
  <c r="J264" i="1"/>
  <c r="D269" i="1"/>
  <c r="D270" i="1"/>
  <c r="B271" i="1"/>
  <c r="V268" i="1" s="1" a="1"/>
  <c r="V268" i="1" s="1"/>
  <c r="F271" i="1"/>
  <c r="E272" i="1"/>
  <c r="D273" i="1"/>
  <c r="E271" i="1"/>
  <c r="G264" i="1"/>
  <c r="K264" i="1"/>
  <c r="B272" i="1"/>
  <c r="C277" i="1" l="1"/>
  <c r="W268" i="1"/>
  <c r="X268" i="1"/>
  <c r="Y268" i="1"/>
  <c r="Z268" i="1"/>
  <c r="C56" i="2" l="1"/>
  <c r="C10" i="2"/>
  <c r="C14" i="2"/>
  <c r="C18" i="2"/>
  <c r="C22" i="2"/>
  <c r="C26" i="2"/>
  <c r="C30" i="2"/>
  <c r="C34" i="2"/>
  <c r="C38" i="2"/>
  <c r="C42" i="2"/>
  <c r="C46" i="2"/>
  <c r="C50" i="2"/>
  <c r="C54" i="2"/>
  <c r="C7" i="2"/>
  <c r="C11" i="2"/>
  <c r="C15" i="2"/>
  <c r="C19" i="2"/>
  <c r="C23" i="2"/>
  <c r="C27" i="2"/>
  <c r="C31" i="2"/>
  <c r="C35" i="2"/>
  <c r="C39" i="2"/>
  <c r="C43" i="2"/>
  <c r="C47" i="2"/>
  <c r="C51" i="2"/>
  <c r="C55" i="2"/>
  <c r="C13" i="2"/>
  <c r="C17" i="2"/>
  <c r="C25" i="2"/>
  <c r="C33" i="2"/>
  <c r="C41" i="2"/>
  <c r="C49" i="2"/>
  <c r="C8" i="2"/>
  <c r="C12" i="2"/>
  <c r="C16" i="2"/>
  <c r="C20" i="2"/>
  <c r="C24" i="2"/>
  <c r="C28" i="2"/>
  <c r="C32" i="2"/>
  <c r="C36" i="2"/>
  <c r="C40" i="2"/>
  <c r="C44" i="2"/>
  <c r="C48" i="2"/>
  <c r="C52" i="2"/>
  <c r="C6" i="2"/>
  <c r="C9" i="2"/>
  <c r="C21" i="2"/>
  <c r="C29" i="2"/>
  <c r="C37" i="2"/>
  <c r="C45" i="2"/>
  <c r="C53" i="2"/>
  <c r="C276" i="1"/>
</calcChain>
</file>

<file path=xl/sharedStrings.xml><?xml version="1.0" encoding="utf-8"?>
<sst xmlns="http://schemas.openxmlformats.org/spreadsheetml/2006/main" count="50" uniqueCount="19">
  <si>
    <t>Date</t>
  </si>
  <si>
    <t>ECOPETL CB Equity</t>
  </si>
  <si>
    <t>BCOLO CB Equity</t>
  </si>
  <si>
    <t>AVAL CB Equity</t>
  </si>
  <si>
    <t>GRUPOSUR CB Equity</t>
  </si>
  <si>
    <t>EEB CB Equity</t>
  </si>
  <si>
    <t>Ret Promedio</t>
  </si>
  <si>
    <t>Matriz Var-Cov</t>
  </si>
  <si>
    <t>Varianza</t>
  </si>
  <si>
    <t>Ret Esperado</t>
  </si>
  <si>
    <t>Pesos</t>
  </si>
  <si>
    <t>Total</t>
  </si>
  <si>
    <t>Ret Min</t>
  </si>
  <si>
    <t>Minimo</t>
  </si>
  <si>
    <t>Maximo</t>
  </si>
  <si>
    <t>Punto</t>
  </si>
  <si>
    <t>Desviacion</t>
  </si>
  <si>
    <t>Ret Mes</t>
  </si>
  <si>
    <t>Matriz Var-Cov Horizonte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</si>
</sst>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">
    <xf numFmtId="0" fontId="0" fillId="0" borderId="0" xfId="0"/>
    <xf numFmtId="14" fontId="0" fillId="0" borderId="0" xfId="0" applyNumberFormat="1"/>
    <xf numFmtId="14" fontId="0" fillId="0" borderId="0" xfId="0" applyNumberFormat="1" applyAlignment="1">
      <alignment horizontal="right"/>
    </xf>
    <xf numFmtId="164" fontId="0" fillId="0" borderId="0" xfId="1" applyNumberFormat="1" applyFont="1"/>
    <xf numFmtId="10" fontId="0" fillId="0" borderId="0" xfId="1" applyNumberFormat="1" applyFont="1"/>
    <xf numFmtId="10" fontId="0" fillId="0" borderId="0" xfId="0" applyNumberFormat="1"/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Frontera Eficiente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FrontEficiente!$D$6:$D$56</c:f>
              <c:numCache>
                <c:formatCode>0.00%</c:formatCode>
                <c:ptCount val="51"/>
                <c:pt idx="0">
                  <c:v>6.1496028729129341E-4</c:v>
                </c:pt>
                <c:pt idx="1">
                  <c:v>5.8686876180723475E-4</c:v>
                </c:pt>
                <c:pt idx="2">
                  <c:v>5.599155751910001E-4</c:v>
                </c:pt>
                <c:pt idx="3">
                  <c:v>5.3410038789091353E-4</c:v>
                </c:pt>
                <c:pt idx="4">
                  <c:v>5.0942248800460899E-4</c:v>
                </c:pt>
                <c:pt idx="5">
                  <c:v>4.8588400748587538E-4</c:v>
                </c:pt>
                <c:pt idx="6">
                  <c:v>4.6348281446509284E-4</c:v>
                </c:pt>
                <c:pt idx="7">
                  <c:v>4.4221961971681236E-4</c:v>
                </c:pt>
                <c:pt idx="8">
                  <c:v>4.2205021991400127E-4</c:v>
                </c:pt>
                <c:pt idx="9">
                  <c:v>4.0277121329373268E-4</c:v>
                </c:pt>
                <c:pt idx="10">
                  <c:v>3.8420125334099041E-4</c:v>
                </c:pt>
                <c:pt idx="11">
                  <c:v>3.662284375883498E-4</c:v>
                </c:pt>
                <c:pt idx="12">
                  <c:v>3.4885283435710026E-4</c:v>
                </c:pt>
                <c:pt idx="13">
                  <c:v>3.3207554486443301E-4</c:v>
                </c:pt>
                <c:pt idx="14">
                  <c:v>3.1589546789475496E-4</c:v>
                </c:pt>
                <c:pt idx="15">
                  <c:v>3.0031297118409181E-4</c:v>
                </c:pt>
                <c:pt idx="16">
                  <c:v>2.8532805249712059E-4</c:v>
                </c:pt>
                <c:pt idx="17">
                  <c:v>2.7094071420301927E-4</c:v>
                </c:pt>
                <c:pt idx="18">
                  <c:v>2.571509555486228E-4</c:v>
                </c:pt>
                <c:pt idx="19">
                  <c:v>2.4395858958789628E-4</c:v>
                </c:pt>
                <c:pt idx="20">
                  <c:v>2.3136417647178422E-4</c:v>
                </c:pt>
                <c:pt idx="21">
                  <c:v>2.193671562706877E-4</c:v>
                </c:pt>
                <c:pt idx="22">
                  <c:v>2.079677153983095E-4</c:v>
                </c:pt>
                <c:pt idx="23">
                  <c:v>1.9716585409836217E-4</c:v>
                </c:pt>
                <c:pt idx="24">
                  <c:v>1.8696157137776802E-4</c:v>
                </c:pt>
                <c:pt idx="25">
                  <c:v>1.7735479132135698E-4</c:v>
                </c:pt>
                <c:pt idx="26">
                  <c:v>1.6834574800122083E-4</c:v>
                </c:pt>
                <c:pt idx="27">
                  <c:v>1.5993419992053613E-4</c:v>
                </c:pt>
                <c:pt idx="28">
                  <c:v>1.5212024174275862E-4</c:v>
                </c:pt>
                <c:pt idx="29">
                  <c:v>1.4490385778133673E-4</c:v>
                </c:pt>
                <c:pt idx="30">
                  <c:v>1.3828503123652661E-4</c:v>
                </c:pt>
                <c:pt idx="31">
                  <c:v>1.3226382834942191E-4</c:v>
                </c:pt>
                <c:pt idx="32">
                  <c:v>1.2684017529553338E-4</c:v>
                </c:pt>
                <c:pt idx="33">
                  <c:v>1.2201173327855823E-4</c:v>
                </c:pt>
                <c:pt idx="34">
                  <c:v>1.1766737888767572E-4</c:v>
                </c:pt>
                <c:pt idx="35">
                  <c:v>1.137464613566802E-4</c:v>
                </c:pt>
                <c:pt idx="36">
                  <c:v>1.1024898255211621E-4</c:v>
                </c:pt>
                <c:pt idx="37">
                  <c:v>1.0717494244809996E-4</c:v>
                </c:pt>
                <c:pt idx="38">
                  <c:v>1.0452434190123792E-4</c:v>
                </c:pt>
                <c:pt idx="39">
                  <c:v>1.0229716919149624E-4</c:v>
                </c:pt>
                <c:pt idx="40">
                  <c:v>1.0049345704963001E-4</c:v>
                </c:pt>
                <c:pt idx="41">
                  <c:v>9.911316454264585E-5</c:v>
                </c:pt>
                <c:pt idx="42">
                  <c:v>9.8156322202131498E-5</c:v>
                </c:pt>
                <c:pt idx="43">
                  <c:v>9.7622922589293016E-5</c:v>
                </c:pt>
                <c:pt idx="44">
                  <c:v>9.7512955878488244E-5</c:v>
                </c:pt>
                <c:pt idx="45">
                  <c:v>9.7826427854261048E-5</c:v>
                </c:pt>
                <c:pt idx="46">
                  <c:v>9.9172039836548182E-5</c:v>
                </c:pt>
                <c:pt idx="47">
                  <c:v>1.0299934261825094E-4</c:v>
                </c:pt>
                <c:pt idx="48">
                  <c:v>1.0937036835011622E-4</c:v>
                </c:pt>
                <c:pt idx="49">
                  <c:v>1.1828532105451516E-4</c:v>
                </c:pt>
                <c:pt idx="50">
                  <c:v>1.2992316428386635E-4</c:v>
                </c:pt>
              </c:numCache>
            </c:numRef>
          </c:xVal>
          <c:yVal>
            <c:numRef>
              <c:f>FrontEficiente!$C$6:$C$56</c:f>
              <c:numCache>
                <c:formatCode>0.00%</c:formatCode>
                <c:ptCount val="51"/>
                <c:pt idx="0">
                  <c:v>-1.2999999999999999E-3</c:v>
                </c:pt>
                <c:pt idx="1">
                  <c:v>-1.2599999999999998E-3</c:v>
                </c:pt>
                <c:pt idx="2">
                  <c:v>-1.2199999999999999E-3</c:v>
                </c:pt>
                <c:pt idx="3">
                  <c:v>-1.1799999999999998E-3</c:v>
                </c:pt>
                <c:pt idx="4">
                  <c:v>-1.14E-3</c:v>
                </c:pt>
                <c:pt idx="5">
                  <c:v>-1.0999999999999998E-3</c:v>
                </c:pt>
                <c:pt idx="6">
                  <c:v>-1.06E-3</c:v>
                </c:pt>
                <c:pt idx="7">
                  <c:v>-1.0199999999999999E-3</c:v>
                </c:pt>
                <c:pt idx="8">
                  <c:v>-9.7999999999999997E-4</c:v>
                </c:pt>
                <c:pt idx="9">
                  <c:v>-9.3999999999999986E-4</c:v>
                </c:pt>
                <c:pt idx="10">
                  <c:v>-8.9999999999999998E-4</c:v>
                </c:pt>
                <c:pt idx="11">
                  <c:v>-8.5999999999999987E-4</c:v>
                </c:pt>
                <c:pt idx="12">
                  <c:v>-8.1999999999999987E-4</c:v>
                </c:pt>
                <c:pt idx="13">
                  <c:v>-7.7999999999999988E-4</c:v>
                </c:pt>
                <c:pt idx="14">
                  <c:v>-7.3999999999999988E-4</c:v>
                </c:pt>
                <c:pt idx="15">
                  <c:v>-6.9999999999999988E-4</c:v>
                </c:pt>
                <c:pt idx="16">
                  <c:v>-6.5999999999999989E-4</c:v>
                </c:pt>
                <c:pt idx="17">
                  <c:v>-6.1999999999999989E-4</c:v>
                </c:pt>
                <c:pt idx="18">
                  <c:v>-5.7999999999999989E-4</c:v>
                </c:pt>
                <c:pt idx="19">
                  <c:v>-5.399999999999999E-4</c:v>
                </c:pt>
                <c:pt idx="20">
                  <c:v>-4.999999999999999E-4</c:v>
                </c:pt>
                <c:pt idx="21">
                  <c:v>-4.5999999999999991E-4</c:v>
                </c:pt>
                <c:pt idx="22">
                  <c:v>-4.1999999999999991E-4</c:v>
                </c:pt>
                <c:pt idx="23">
                  <c:v>-3.7999999999999991E-4</c:v>
                </c:pt>
                <c:pt idx="24">
                  <c:v>-3.3999999999999981E-4</c:v>
                </c:pt>
                <c:pt idx="25">
                  <c:v>-2.9999999999999992E-4</c:v>
                </c:pt>
                <c:pt idx="26">
                  <c:v>-2.5999999999999981E-4</c:v>
                </c:pt>
                <c:pt idx="27">
                  <c:v>-2.1999999999999993E-4</c:v>
                </c:pt>
                <c:pt idx="28">
                  <c:v>-1.7999999999999982E-4</c:v>
                </c:pt>
                <c:pt idx="29">
                  <c:v>-1.3999999999999993E-4</c:v>
                </c:pt>
                <c:pt idx="30">
                  <c:v>-9.9999999999999829E-5</c:v>
                </c:pt>
                <c:pt idx="31">
                  <c:v>-5.9999999999999941E-5</c:v>
                </c:pt>
                <c:pt idx="32">
                  <c:v>-1.9999999999999836E-5</c:v>
                </c:pt>
                <c:pt idx="33">
                  <c:v>2.0000000000000269E-5</c:v>
                </c:pt>
                <c:pt idx="34">
                  <c:v>6.0000000000000157E-5</c:v>
                </c:pt>
                <c:pt idx="35">
                  <c:v>1.0000000000000026E-4</c:v>
                </c:pt>
                <c:pt idx="36">
                  <c:v>1.4000000000000015E-4</c:v>
                </c:pt>
                <c:pt idx="37">
                  <c:v>1.8000000000000026E-4</c:v>
                </c:pt>
                <c:pt idx="38">
                  <c:v>2.2000000000000014E-4</c:v>
                </c:pt>
                <c:pt idx="39">
                  <c:v>2.6000000000000025E-4</c:v>
                </c:pt>
                <c:pt idx="40">
                  <c:v>3.0000000000000014E-4</c:v>
                </c:pt>
                <c:pt idx="41">
                  <c:v>3.4000000000000024E-4</c:v>
                </c:pt>
                <c:pt idx="42">
                  <c:v>3.8000000000000013E-4</c:v>
                </c:pt>
                <c:pt idx="43">
                  <c:v>4.2000000000000023E-4</c:v>
                </c:pt>
                <c:pt idx="44">
                  <c:v>4.6000000000000012E-4</c:v>
                </c:pt>
                <c:pt idx="45">
                  <c:v>5.0000000000000023E-4</c:v>
                </c:pt>
                <c:pt idx="46">
                  <c:v>5.4000000000000012E-4</c:v>
                </c:pt>
                <c:pt idx="47">
                  <c:v>5.8000000000000022E-4</c:v>
                </c:pt>
                <c:pt idx="48">
                  <c:v>6.2000000000000033E-4</c:v>
                </c:pt>
                <c:pt idx="49">
                  <c:v>6.6000000000000043E-4</c:v>
                </c:pt>
                <c:pt idx="50">
                  <c:v>7.000000000000001E-4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1F7-4960-B119-F7FC54054B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7118303"/>
        <c:axId val="1298091503"/>
      </c:scatterChart>
      <c:valAx>
        <c:axId val="11271183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298091503"/>
        <c:crosses val="autoZero"/>
        <c:crossBetween val="midCat"/>
      </c:valAx>
      <c:valAx>
        <c:axId val="1298091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1271183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76200</xdr:rowOff>
    </xdr:from>
    <xdr:to>
      <xdr:col>6</xdr:col>
      <xdr:colOff>47625</xdr:colOff>
      <xdr:row>2</xdr:row>
      <xdr:rowOff>114300</xdr:rowOff>
    </xdr:to>
    <xdr:sp macro="[0]!CalcularFronter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057400" y="76200"/>
          <a:ext cx="1971675" cy="4191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/>
            <a:t>Calcular Frontera</a:t>
          </a:r>
          <a:endParaRPr lang="es-CO" sz="1100"/>
        </a:p>
      </xdr:txBody>
    </xdr:sp>
    <xdr:clientData/>
  </xdr:twoCellAnchor>
  <xdr:twoCellAnchor>
    <xdr:from>
      <xdr:col>12</xdr:col>
      <xdr:colOff>206375</xdr:colOff>
      <xdr:row>4</xdr:row>
      <xdr:rowOff>12700</xdr:rowOff>
    </xdr:from>
    <xdr:to>
      <xdr:col>19</xdr:col>
      <xdr:colOff>511175</xdr:colOff>
      <xdr:row>18</xdr:row>
      <xdr:rowOff>177800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38F15B0-F135-42B8-B5CB-97BC02AD31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282"/>
  <sheetViews>
    <sheetView topLeftCell="A264" workbookViewId="0">
      <selection activeCell="G280" sqref="G280"/>
    </sheetView>
  </sheetViews>
  <sheetFormatPr baseColWidth="10" defaultColWidth="8.7265625" defaultRowHeight="14.5" x14ac:dyDescent="0.35"/>
  <cols>
    <col min="1" max="1" width="10.7265625" bestFit="1" customWidth="1"/>
    <col min="2" max="2" width="12" bestFit="1" customWidth="1"/>
    <col min="6" max="6" width="19.7265625" bestFit="1" customWidth="1"/>
  </cols>
  <sheetData>
    <row r="1" spans="1:11" x14ac:dyDescent="0.35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</v>
      </c>
      <c r="H1" t="s">
        <v>2</v>
      </c>
      <c r="I1" t="s">
        <v>3</v>
      </c>
      <c r="J1" t="s">
        <v>4</v>
      </c>
      <c r="K1" t="s">
        <v>5</v>
      </c>
    </row>
    <row r="2" spans="1:11" x14ac:dyDescent="0.35">
      <c r="A2" s="1">
        <v>42096</v>
      </c>
      <c r="B2">
        <v>2000</v>
      </c>
      <c r="C2">
        <v>24400</v>
      </c>
      <c r="D2">
        <v>1160</v>
      </c>
      <c r="E2">
        <v>34200</v>
      </c>
      <c r="F2">
        <v>1625</v>
      </c>
    </row>
    <row r="3" spans="1:11" x14ac:dyDescent="0.35">
      <c r="A3" s="1">
        <v>42097</v>
      </c>
      <c r="B3">
        <v>2000</v>
      </c>
      <c r="C3">
        <v>24400</v>
      </c>
      <c r="D3">
        <v>1160</v>
      </c>
      <c r="E3">
        <v>34200</v>
      </c>
      <c r="F3">
        <v>1625</v>
      </c>
      <c r="G3">
        <f>B3/B2-1</f>
        <v>0</v>
      </c>
      <c r="H3">
        <f t="shared" ref="H3:K3" si="0">C3/C2-1</f>
        <v>0</v>
      </c>
      <c r="I3">
        <f t="shared" si="0"/>
        <v>0</v>
      </c>
      <c r="J3">
        <f t="shared" si="0"/>
        <v>0</v>
      </c>
      <c r="K3">
        <f t="shared" si="0"/>
        <v>0</v>
      </c>
    </row>
    <row r="4" spans="1:11" x14ac:dyDescent="0.35">
      <c r="A4" s="1">
        <v>42100</v>
      </c>
      <c r="B4">
        <v>2065</v>
      </c>
      <c r="C4">
        <v>25340</v>
      </c>
      <c r="D4">
        <v>1160</v>
      </c>
      <c r="E4">
        <v>34820</v>
      </c>
      <c r="F4">
        <v>1640</v>
      </c>
      <c r="G4">
        <f t="shared" ref="G4:G67" si="1">B4/B3-1</f>
        <v>3.2499999999999973E-2</v>
      </c>
      <c r="H4">
        <f t="shared" ref="H4:H67" si="2">C4/C3-1</f>
        <v>3.8524590163934391E-2</v>
      </c>
      <c r="I4">
        <f t="shared" ref="I4:I67" si="3">D4/D3-1</f>
        <v>0</v>
      </c>
      <c r="J4">
        <f t="shared" ref="J4:J67" si="4">E4/E3-1</f>
        <v>1.8128654970760216E-2</v>
      </c>
      <c r="K4">
        <f t="shared" ref="K4:K67" si="5">F4/F3-1</f>
        <v>9.2307692307691536E-3</v>
      </c>
    </row>
    <row r="5" spans="1:11" x14ac:dyDescent="0.35">
      <c r="A5" s="1">
        <v>42101</v>
      </c>
      <c r="B5">
        <v>2065</v>
      </c>
      <c r="C5">
        <v>25000</v>
      </c>
      <c r="D5">
        <v>1170</v>
      </c>
      <c r="E5">
        <v>35300</v>
      </c>
      <c r="F5">
        <v>1655</v>
      </c>
      <c r="G5">
        <f t="shared" si="1"/>
        <v>0</v>
      </c>
      <c r="H5">
        <f t="shared" si="2"/>
        <v>-1.3417521704814472E-2</v>
      </c>
      <c r="I5">
        <f t="shared" si="3"/>
        <v>8.6206896551723755E-3</v>
      </c>
      <c r="J5">
        <f t="shared" si="4"/>
        <v>1.378518093049963E-2</v>
      </c>
      <c r="K5">
        <f t="shared" si="5"/>
        <v>9.1463414634145312E-3</v>
      </c>
    </row>
    <row r="6" spans="1:11" x14ac:dyDescent="0.35">
      <c r="A6" s="1">
        <v>42102</v>
      </c>
      <c r="B6">
        <v>2015</v>
      </c>
      <c r="C6">
        <v>24800</v>
      </c>
      <c r="D6">
        <v>1170</v>
      </c>
      <c r="E6">
        <v>35200</v>
      </c>
      <c r="F6">
        <v>1650</v>
      </c>
      <c r="G6">
        <f t="shared" si="1"/>
        <v>-2.4213075060532718E-2</v>
      </c>
      <c r="H6">
        <f t="shared" si="2"/>
        <v>-8.0000000000000071E-3</v>
      </c>
      <c r="I6">
        <f t="shared" si="3"/>
        <v>0</v>
      </c>
      <c r="J6">
        <f t="shared" si="4"/>
        <v>-2.8328611898017497E-3</v>
      </c>
      <c r="K6">
        <f t="shared" si="5"/>
        <v>-3.0211480362537513E-3</v>
      </c>
    </row>
    <row r="7" spans="1:11" x14ac:dyDescent="0.35">
      <c r="A7" s="1">
        <v>42103</v>
      </c>
      <c r="B7">
        <v>2035</v>
      </c>
      <c r="C7">
        <v>25040</v>
      </c>
      <c r="D7">
        <v>1175</v>
      </c>
      <c r="E7">
        <v>35520</v>
      </c>
      <c r="F7">
        <v>1650</v>
      </c>
      <c r="G7">
        <f t="shared" si="1"/>
        <v>9.9255583126551805E-3</v>
      </c>
      <c r="H7">
        <f t="shared" si="2"/>
        <v>9.6774193548387899E-3</v>
      </c>
      <c r="I7">
        <f t="shared" si="3"/>
        <v>4.2735042735042583E-3</v>
      </c>
      <c r="J7">
        <f t="shared" si="4"/>
        <v>9.0909090909090384E-3</v>
      </c>
      <c r="K7">
        <f t="shared" si="5"/>
        <v>0</v>
      </c>
    </row>
    <row r="8" spans="1:11" x14ac:dyDescent="0.35">
      <c r="A8" s="1">
        <v>42104</v>
      </c>
      <c r="B8">
        <v>2020</v>
      </c>
      <c r="C8">
        <v>24980</v>
      </c>
      <c r="D8">
        <v>1180</v>
      </c>
      <c r="E8">
        <v>35500</v>
      </c>
      <c r="F8">
        <v>1660</v>
      </c>
      <c r="G8">
        <f t="shared" si="1"/>
        <v>-7.3710073710073765E-3</v>
      </c>
      <c r="H8">
        <f t="shared" si="2"/>
        <v>-2.3961661341852514E-3</v>
      </c>
      <c r="I8">
        <f t="shared" si="3"/>
        <v>4.2553191489360653E-3</v>
      </c>
      <c r="J8">
        <f t="shared" si="4"/>
        <v>-5.6306306306308507E-4</v>
      </c>
      <c r="K8">
        <f t="shared" si="5"/>
        <v>6.0606060606060996E-3</v>
      </c>
    </row>
    <row r="9" spans="1:11" x14ac:dyDescent="0.35">
      <c r="A9" s="1">
        <v>42107</v>
      </c>
      <c r="B9">
        <v>2030</v>
      </c>
      <c r="C9">
        <v>25380</v>
      </c>
      <c r="D9">
        <v>1180</v>
      </c>
      <c r="E9">
        <v>35500</v>
      </c>
      <c r="F9">
        <v>1655</v>
      </c>
      <c r="G9">
        <f t="shared" si="1"/>
        <v>4.9504950495049549E-3</v>
      </c>
      <c r="H9">
        <f t="shared" si="2"/>
        <v>1.601281024819845E-2</v>
      </c>
      <c r="I9">
        <f t="shared" si="3"/>
        <v>0</v>
      </c>
      <c r="J9">
        <f t="shared" si="4"/>
        <v>0</v>
      </c>
      <c r="K9">
        <f t="shared" si="5"/>
        <v>-3.0120481927711218E-3</v>
      </c>
    </row>
    <row r="10" spans="1:11" x14ac:dyDescent="0.35">
      <c r="A10" s="1">
        <v>42108</v>
      </c>
      <c r="B10">
        <v>2045</v>
      </c>
      <c r="C10">
        <v>25560</v>
      </c>
      <c r="D10">
        <v>1170</v>
      </c>
      <c r="E10">
        <v>35580</v>
      </c>
      <c r="F10">
        <v>1640</v>
      </c>
      <c r="G10">
        <f t="shared" si="1"/>
        <v>7.3891625615762901E-3</v>
      </c>
      <c r="H10">
        <f t="shared" si="2"/>
        <v>7.0921985815601829E-3</v>
      </c>
      <c r="I10">
        <f t="shared" si="3"/>
        <v>-8.4745762711864181E-3</v>
      </c>
      <c r="J10">
        <f t="shared" si="4"/>
        <v>2.2535211267604716E-3</v>
      </c>
      <c r="K10">
        <f t="shared" si="5"/>
        <v>-9.0634441087613649E-3</v>
      </c>
    </row>
    <row r="11" spans="1:11" x14ac:dyDescent="0.35">
      <c r="A11" s="1">
        <v>42109</v>
      </c>
      <c r="B11">
        <v>2070</v>
      </c>
      <c r="C11">
        <v>25400</v>
      </c>
      <c r="D11">
        <v>1170</v>
      </c>
      <c r="E11">
        <v>35600</v>
      </c>
      <c r="F11">
        <v>1625</v>
      </c>
      <c r="G11">
        <f t="shared" si="1"/>
        <v>1.2224938875305513E-2</v>
      </c>
      <c r="H11">
        <f t="shared" si="2"/>
        <v>-6.2597809076682109E-3</v>
      </c>
      <c r="I11">
        <f t="shared" si="3"/>
        <v>0</v>
      </c>
      <c r="J11">
        <f t="shared" si="4"/>
        <v>5.6211354693647131E-4</v>
      </c>
      <c r="K11">
        <f t="shared" si="5"/>
        <v>-9.1463414634146423E-3</v>
      </c>
    </row>
    <row r="12" spans="1:11" x14ac:dyDescent="0.35">
      <c r="A12" s="1">
        <v>42110</v>
      </c>
      <c r="B12">
        <v>2085</v>
      </c>
      <c r="C12">
        <v>25240</v>
      </c>
      <c r="D12">
        <v>1165</v>
      </c>
      <c r="E12">
        <v>35660</v>
      </c>
      <c r="F12">
        <v>1645</v>
      </c>
      <c r="G12">
        <f t="shared" si="1"/>
        <v>7.2463768115942351E-3</v>
      </c>
      <c r="H12">
        <f t="shared" si="2"/>
        <v>-6.2992125984252523E-3</v>
      </c>
      <c r="I12">
        <f t="shared" si="3"/>
        <v>-4.2735042735042583E-3</v>
      </c>
      <c r="J12">
        <f t="shared" si="4"/>
        <v>1.6853932584268705E-3</v>
      </c>
      <c r="K12">
        <f t="shared" si="5"/>
        <v>1.2307692307692353E-2</v>
      </c>
    </row>
    <row r="13" spans="1:11" x14ac:dyDescent="0.35">
      <c r="A13" s="1">
        <v>42111</v>
      </c>
      <c r="B13">
        <v>2060</v>
      </c>
      <c r="C13">
        <v>25220</v>
      </c>
      <c r="D13">
        <v>1155</v>
      </c>
      <c r="E13">
        <v>35500</v>
      </c>
      <c r="F13">
        <v>1635</v>
      </c>
      <c r="G13">
        <f t="shared" si="1"/>
        <v>-1.1990407673860948E-2</v>
      </c>
      <c r="H13">
        <f t="shared" si="2"/>
        <v>-7.9239302694134039E-4</v>
      </c>
      <c r="I13">
        <f t="shared" si="3"/>
        <v>-8.5836909871244149E-3</v>
      </c>
      <c r="J13">
        <f t="shared" si="4"/>
        <v>-4.4868199663488095E-3</v>
      </c>
      <c r="K13">
        <f t="shared" si="5"/>
        <v>-6.0790273556230456E-3</v>
      </c>
    </row>
    <row r="14" spans="1:11" x14ac:dyDescent="0.35">
      <c r="A14" s="1">
        <v>42114</v>
      </c>
      <c r="B14">
        <v>2020</v>
      </c>
      <c r="C14">
        <v>25100</v>
      </c>
      <c r="D14">
        <v>1145</v>
      </c>
      <c r="E14">
        <v>35000</v>
      </c>
      <c r="F14">
        <v>1635</v>
      </c>
      <c r="G14">
        <f t="shared" si="1"/>
        <v>-1.9417475728155331E-2</v>
      </c>
      <c r="H14">
        <f t="shared" si="2"/>
        <v>-4.7581284694686587E-3</v>
      </c>
      <c r="I14">
        <f t="shared" si="3"/>
        <v>-8.6580086580086979E-3</v>
      </c>
      <c r="J14">
        <f t="shared" si="4"/>
        <v>-1.4084507042253502E-2</v>
      </c>
      <c r="K14">
        <f t="shared" si="5"/>
        <v>0</v>
      </c>
    </row>
    <row r="15" spans="1:11" x14ac:dyDescent="0.35">
      <c r="A15" s="1">
        <v>42115</v>
      </c>
      <c r="B15">
        <v>1985</v>
      </c>
      <c r="C15">
        <v>24900</v>
      </c>
      <c r="D15">
        <v>1145</v>
      </c>
      <c r="E15">
        <v>34600</v>
      </c>
      <c r="F15">
        <v>1630</v>
      </c>
      <c r="G15">
        <f t="shared" si="1"/>
        <v>-1.7326732673267342E-2</v>
      </c>
      <c r="H15">
        <f t="shared" si="2"/>
        <v>-7.9681274900398336E-3</v>
      </c>
      <c r="I15">
        <f t="shared" si="3"/>
        <v>0</v>
      </c>
      <c r="J15">
        <f t="shared" si="4"/>
        <v>-1.1428571428571455E-2</v>
      </c>
      <c r="K15">
        <f t="shared" si="5"/>
        <v>-3.0581039755351869E-3</v>
      </c>
    </row>
    <row r="16" spans="1:11" x14ac:dyDescent="0.35">
      <c r="A16" s="1">
        <v>42116</v>
      </c>
      <c r="B16">
        <v>2015</v>
      </c>
      <c r="C16">
        <v>25500</v>
      </c>
      <c r="D16">
        <v>1170</v>
      </c>
      <c r="E16">
        <v>34600</v>
      </c>
      <c r="F16">
        <v>1640</v>
      </c>
      <c r="G16">
        <f t="shared" si="1"/>
        <v>1.5113350125944613E-2</v>
      </c>
      <c r="H16">
        <f t="shared" si="2"/>
        <v>2.4096385542168752E-2</v>
      </c>
      <c r="I16">
        <f t="shared" si="3"/>
        <v>2.1834061135371119E-2</v>
      </c>
      <c r="J16">
        <f t="shared" si="4"/>
        <v>0</v>
      </c>
      <c r="K16">
        <f t="shared" si="5"/>
        <v>6.1349693251533388E-3</v>
      </c>
    </row>
    <row r="17" spans="1:11" x14ac:dyDescent="0.35">
      <c r="A17" s="1">
        <v>42117</v>
      </c>
      <c r="B17">
        <v>2035</v>
      </c>
      <c r="C17">
        <v>25960</v>
      </c>
      <c r="D17">
        <v>1170</v>
      </c>
      <c r="E17">
        <v>34500</v>
      </c>
      <c r="F17">
        <v>1655</v>
      </c>
      <c r="G17">
        <f t="shared" si="1"/>
        <v>9.9255583126551805E-3</v>
      </c>
      <c r="H17">
        <f t="shared" si="2"/>
        <v>1.8039215686274535E-2</v>
      </c>
      <c r="I17">
        <f t="shared" si="3"/>
        <v>0</v>
      </c>
      <c r="J17">
        <f t="shared" si="4"/>
        <v>-2.8901734104046506E-3</v>
      </c>
      <c r="K17">
        <f t="shared" si="5"/>
        <v>9.1463414634145312E-3</v>
      </c>
    </row>
    <row r="18" spans="1:11" x14ac:dyDescent="0.35">
      <c r="A18" s="1">
        <v>42118</v>
      </c>
      <c r="B18">
        <v>2060</v>
      </c>
      <c r="C18">
        <v>26500</v>
      </c>
      <c r="D18">
        <v>1180</v>
      </c>
      <c r="E18">
        <v>35600</v>
      </c>
      <c r="F18">
        <v>1655</v>
      </c>
      <c r="G18">
        <f t="shared" si="1"/>
        <v>1.228501228501222E-2</v>
      </c>
      <c r="H18">
        <f t="shared" si="2"/>
        <v>2.0801232665639491E-2</v>
      </c>
      <c r="I18">
        <f t="shared" si="3"/>
        <v>8.5470085470085166E-3</v>
      </c>
      <c r="J18">
        <f t="shared" si="4"/>
        <v>3.1884057971014457E-2</v>
      </c>
      <c r="K18">
        <f t="shared" si="5"/>
        <v>0</v>
      </c>
    </row>
    <row r="19" spans="1:11" x14ac:dyDescent="0.35">
      <c r="A19" s="1">
        <v>42121</v>
      </c>
      <c r="B19">
        <v>2075</v>
      </c>
      <c r="C19">
        <v>26600</v>
      </c>
      <c r="D19">
        <v>1185</v>
      </c>
      <c r="E19">
        <v>36260</v>
      </c>
      <c r="F19">
        <v>1685</v>
      </c>
      <c r="G19">
        <f t="shared" si="1"/>
        <v>7.2815533980583602E-3</v>
      </c>
      <c r="H19">
        <f t="shared" si="2"/>
        <v>3.7735849056603765E-3</v>
      </c>
      <c r="I19">
        <f t="shared" si="3"/>
        <v>4.237288135593209E-3</v>
      </c>
      <c r="J19">
        <f t="shared" si="4"/>
        <v>1.8539325842696686E-2</v>
      </c>
      <c r="K19">
        <f t="shared" si="5"/>
        <v>1.812688821752273E-2</v>
      </c>
    </row>
    <row r="20" spans="1:11" x14ac:dyDescent="0.35">
      <c r="A20" s="1">
        <v>42122</v>
      </c>
      <c r="B20">
        <v>2050</v>
      </c>
      <c r="C20">
        <v>26920</v>
      </c>
      <c r="D20">
        <v>1215</v>
      </c>
      <c r="E20">
        <v>36940</v>
      </c>
      <c r="F20">
        <v>1725</v>
      </c>
      <c r="G20">
        <f t="shared" si="1"/>
        <v>-1.2048192771084376E-2</v>
      </c>
      <c r="H20">
        <f t="shared" si="2"/>
        <v>1.2030075187969835E-2</v>
      </c>
      <c r="I20">
        <f t="shared" si="3"/>
        <v>2.5316455696202445E-2</v>
      </c>
      <c r="J20">
        <f t="shared" si="4"/>
        <v>1.8753447324875827E-2</v>
      </c>
      <c r="K20">
        <f t="shared" si="5"/>
        <v>2.3738872403560762E-2</v>
      </c>
    </row>
    <row r="21" spans="1:11" x14ac:dyDescent="0.35">
      <c r="A21" s="1">
        <v>42123</v>
      </c>
      <c r="B21">
        <v>2040</v>
      </c>
      <c r="C21">
        <v>26400</v>
      </c>
      <c r="D21">
        <v>1215</v>
      </c>
      <c r="E21">
        <v>37100</v>
      </c>
      <c r="F21">
        <v>1725</v>
      </c>
      <c r="G21">
        <f t="shared" si="1"/>
        <v>-4.8780487804878092E-3</v>
      </c>
      <c r="H21">
        <f t="shared" si="2"/>
        <v>-1.9316493313521588E-2</v>
      </c>
      <c r="I21">
        <f t="shared" si="3"/>
        <v>0</v>
      </c>
      <c r="J21">
        <f t="shared" si="4"/>
        <v>4.3313481321061165E-3</v>
      </c>
      <c r="K21">
        <f t="shared" si="5"/>
        <v>0</v>
      </c>
    </row>
    <row r="22" spans="1:11" x14ac:dyDescent="0.35">
      <c r="A22" s="1">
        <v>42124</v>
      </c>
      <c r="B22">
        <v>2030</v>
      </c>
      <c r="C22">
        <v>25200</v>
      </c>
      <c r="D22">
        <v>1205</v>
      </c>
      <c r="E22">
        <v>39140</v>
      </c>
      <c r="F22">
        <v>1700</v>
      </c>
      <c r="G22">
        <f t="shared" si="1"/>
        <v>-4.9019607843137081E-3</v>
      </c>
      <c r="H22">
        <f t="shared" si="2"/>
        <v>-4.5454545454545414E-2</v>
      </c>
      <c r="I22">
        <f t="shared" si="3"/>
        <v>-8.2304526748970819E-3</v>
      </c>
      <c r="J22">
        <f t="shared" si="4"/>
        <v>5.4986522911051106E-2</v>
      </c>
      <c r="K22">
        <f t="shared" si="5"/>
        <v>-1.4492753623188359E-2</v>
      </c>
    </row>
    <row r="23" spans="1:11" x14ac:dyDescent="0.35">
      <c r="A23" s="1">
        <v>42125</v>
      </c>
      <c r="B23">
        <v>2030</v>
      </c>
      <c r="C23">
        <v>25200</v>
      </c>
      <c r="D23">
        <v>1205</v>
      </c>
      <c r="E23">
        <v>39140</v>
      </c>
      <c r="F23">
        <v>1700</v>
      </c>
      <c r="G23">
        <f t="shared" si="1"/>
        <v>0</v>
      </c>
      <c r="H23">
        <f t="shared" si="2"/>
        <v>0</v>
      </c>
      <c r="I23">
        <f t="shared" si="3"/>
        <v>0</v>
      </c>
      <c r="J23">
        <f t="shared" si="4"/>
        <v>0</v>
      </c>
      <c r="K23">
        <f t="shared" si="5"/>
        <v>0</v>
      </c>
    </row>
    <row r="24" spans="1:11" x14ac:dyDescent="0.35">
      <c r="A24" s="1">
        <v>42128</v>
      </c>
      <c r="B24">
        <v>2035</v>
      </c>
      <c r="C24">
        <v>25960</v>
      </c>
      <c r="D24">
        <v>1205</v>
      </c>
      <c r="E24">
        <v>37160</v>
      </c>
      <c r="F24">
        <v>1700</v>
      </c>
      <c r="G24">
        <f t="shared" si="1"/>
        <v>2.4630541871921707E-3</v>
      </c>
      <c r="H24">
        <f t="shared" si="2"/>
        <v>3.0158730158730052E-2</v>
      </c>
      <c r="I24">
        <f t="shared" si="3"/>
        <v>0</v>
      </c>
      <c r="J24">
        <f t="shared" si="4"/>
        <v>-5.0587634133878345E-2</v>
      </c>
      <c r="K24">
        <f t="shared" si="5"/>
        <v>0</v>
      </c>
    </row>
    <row r="25" spans="1:11" x14ac:dyDescent="0.35">
      <c r="A25" s="1">
        <v>42129</v>
      </c>
      <c r="B25">
        <v>2065</v>
      </c>
      <c r="C25">
        <v>26200</v>
      </c>
      <c r="D25">
        <v>1215</v>
      </c>
      <c r="E25">
        <v>37500</v>
      </c>
      <c r="F25">
        <v>1710</v>
      </c>
      <c r="G25">
        <f t="shared" si="1"/>
        <v>1.4742014742014753E-2</v>
      </c>
      <c r="H25">
        <f t="shared" si="2"/>
        <v>9.244992295839749E-3</v>
      </c>
      <c r="I25">
        <f t="shared" si="3"/>
        <v>8.2987551867219622E-3</v>
      </c>
      <c r="J25">
        <f t="shared" si="4"/>
        <v>9.1496232508072595E-3</v>
      </c>
      <c r="K25">
        <f t="shared" si="5"/>
        <v>5.8823529411764497E-3</v>
      </c>
    </row>
    <row r="26" spans="1:11" x14ac:dyDescent="0.35">
      <c r="A26" s="1">
        <v>42130</v>
      </c>
      <c r="B26">
        <v>2070</v>
      </c>
      <c r="C26">
        <v>25960</v>
      </c>
      <c r="D26">
        <v>1230</v>
      </c>
      <c r="E26">
        <v>37280</v>
      </c>
      <c r="F26">
        <v>1695</v>
      </c>
      <c r="G26">
        <f t="shared" si="1"/>
        <v>2.421307506053294E-3</v>
      </c>
      <c r="H26">
        <f t="shared" si="2"/>
        <v>-9.1603053435114212E-3</v>
      </c>
      <c r="I26">
        <f t="shared" si="3"/>
        <v>1.2345679012345734E-2</v>
      </c>
      <c r="J26">
        <f t="shared" si="4"/>
        <v>-5.8666666666666867E-3</v>
      </c>
      <c r="K26">
        <f t="shared" si="5"/>
        <v>-8.7719298245614308E-3</v>
      </c>
    </row>
    <row r="27" spans="1:11" x14ac:dyDescent="0.35">
      <c r="A27" s="1">
        <v>42131</v>
      </c>
      <c r="B27">
        <v>1990</v>
      </c>
      <c r="C27">
        <v>25760</v>
      </c>
      <c r="D27">
        <v>1225</v>
      </c>
      <c r="E27">
        <v>35600</v>
      </c>
      <c r="F27">
        <v>1680</v>
      </c>
      <c r="G27">
        <f t="shared" si="1"/>
        <v>-3.8647342995169032E-2</v>
      </c>
      <c r="H27">
        <f t="shared" si="2"/>
        <v>-7.7041602465330872E-3</v>
      </c>
      <c r="I27">
        <f t="shared" si="3"/>
        <v>-4.0650406504064707E-3</v>
      </c>
      <c r="J27">
        <f t="shared" si="4"/>
        <v>-4.5064377682403456E-2</v>
      </c>
      <c r="K27">
        <f t="shared" si="5"/>
        <v>-8.8495575221239076E-3</v>
      </c>
    </row>
    <row r="28" spans="1:11" x14ac:dyDescent="0.35">
      <c r="A28" s="1">
        <v>42132</v>
      </c>
      <c r="B28">
        <v>1940</v>
      </c>
      <c r="C28">
        <v>25680</v>
      </c>
      <c r="D28">
        <v>1225</v>
      </c>
      <c r="E28">
        <v>35560</v>
      </c>
      <c r="F28">
        <v>1695</v>
      </c>
      <c r="G28">
        <f t="shared" si="1"/>
        <v>-2.5125628140703515E-2</v>
      </c>
      <c r="H28">
        <f t="shared" si="2"/>
        <v>-3.1055900621117516E-3</v>
      </c>
      <c r="I28">
        <f t="shared" si="3"/>
        <v>0</v>
      </c>
      <c r="J28">
        <f t="shared" si="4"/>
        <v>-1.1235955056180247E-3</v>
      </c>
      <c r="K28">
        <f t="shared" si="5"/>
        <v>8.9285714285713969E-3</v>
      </c>
    </row>
    <row r="29" spans="1:11" x14ac:dyDescent="0.35">
      <c r="A29" s="1">
        <v>42135</v>
      </c>
      <c r="B29">
        <v>1900</v>
      </c>
      <c r="C29">
        <v>26000</v>
      </c>
      <c r="D29">
        <v>1225</v>
      </c>
      <c r="E29">
        <v>35840</v>
      </c>
      <c r="F29">
        <v>1690</v>
      </c>
      <c r="G29">
        <f t="shared" si="1"/>
        <v>-2.0618556701030966E-2</v>
      </c>
      <c r="H29">
        <f t="shared" si="2"/>
        <v>1.2461059190031154E-2</v>
      </c>
      <c r="I29">
        <f t="shared" si="3"/>
        <v>0</v>
      </c>
      <c r="J29">
        <f t="shared" si="4"/>
        <v>7.8740157480314821E-3</v>
      </c>
      <c r="K29">
        <f t="shared" si="5"/>
        <v>-2.9498525073746729E-3</v>
      </c>
    </row>
    <row r="30" spans="1:11" x14ac:dyDescent="0.35">
      <c r="A30" s="1">
        <v>42136</v>
      </c>
      <c r="B30">
        <v>1900</v>
      </c>
      <c r="C30">
        <v>25980</v>
      </c>
      <c r="D30">
        <v>1225</v>
      </c>
      <c r="E30">
        <v>35280</v>
      </c>
      <c r="F30">
        <v>1665</v>
      </c>
      <c r="G30">
        <f t="shared" si="1"/>
        <v>0</v>
      </c>
      <c r="H30">
        <f t="shared" si="2"/>
        <v>-7.6923076923074429E-4</v>
      </c>
      <c r="I30">
        <f t="shared" si="3"/>
        <v>0</v>
      </c>
      <c r="J30">
        <f t="shared" si="4"/>
        <v>-1.5625E-2</v>
      </c>
      <c r="K30">
        <f t="shared" si="5"/>
        <v>-1.4792899408283988E-2</v>
      </c>
    </row>
    <row r="31" spans="1:11" x14ac:dyDescent="0.35">
      <c r="A31" s="1">
        <v>42137</v>
      </c>
      <c r="B31">
        <v>1945</v>
      </c>
      <c r="C31">
        <v>26040</v>
      </c>
      <c r="D31">
        <v>1230</v>
      </c>
      <c r="E31">
        <v>35540</v>
      </c>
      <c r="F31">
        <v>1685</v>
      </c>
      <c r="G31">
        <f t="shared" si="1"/>
        <v>2.3684210526315752E-2</v>
      </c>
      <c r="H31">
        <f t="shared" si="2"/>
        <v>2.3094688221709792E-3</v>
      </c>
      <c r="I31">
        <f t="shared" si="3"/>
        <v>4.0816326530612734E-3</v>
      </c>
      <c r="J31">
        <f t="shared" si="4"/>
        <v>7.369614512471756E-3</v>
      </c>
      <c r="K31">
        <f t="shared" si="5"/>
        <v>1.2012012012011963E-2</v>
      </c>
    </row>
    <row r="32" spans="1:11" x14ac:dyDescent="0.35">
      <c r="A32" s="1">
        <v>42138</v>
      </c>
      <c r="B32">
        <v>1965</v>
      </c>
      <c r="C32">
        <v>26140</v>
      </c>
      <c r="D32">
        <v>1230</v>
      </c>
      <c r="E32">
        <v>35500</v>
      </c>
      <c r="F32">
        <v>1665</v>
      </c>
      <c r="G32">
        <f t="shared" si="1"/>
        <v>1.0282776349614497E-2</v>
      </c>
      <c r="H32">
        <f t="shared" si="2"/>
        <v>3.8402457757296116E-3</v>
      </c>
      <c r="I32">
        <f t="shared" si="3"/>
        <v>0</v>
      </c>
      <c r="J32">
        <f t="shared" si="4"/>
        <v>-1.1254924029262536E-3</v>
      </c>
      <c r="K32">
        <f t="shared" si="5"/>
        <v>-1.1869436201780381E-2</v>
      </c>
    </row>
    <row r="33" spans="1:11" x14ac:dyDescent="0.35">
      <c r="A33" s="1">
        <v>42139</v>
      </c>
      <c r="B33">
        <v>1965</v>
      </c>
      <c r="C33">
        <v>26180</v>
      </c>
      <c r="D33">
        <v>1235</v>
      </c>
      <c r="E33">
        <v>35500</v>
      </c>
      <c r="F33">
        <v>1650</v>
      </c>
      <c r="G33">
        <f t="shared" si="1"/>
        <v>0</v>
      </c>
      <c r="H33">
        <f t="shared" si="2"/>
        <v>1.5302218821728886E-3</v>
      </c>
      <c r="I33">
        <f t="shared" si="3"/>
        <v>4.0650406504065817E-3</v>
      </c>
      <c r="J33">
        <f t="shared" si="4"/>
        <v>0</v>
      </c>
      <c r="K33">
        <f t="shared" si="5"/>
        <v>-9.009009009009028E-3</v>
      </c>
    </row>
    <row r="34" spans="1:11" x14ac:dyDescent="0.35">
      <c r="A34" s="1">
        <v>42142</v>
      </c>
      <c r="B34">
        <v>1965</v>
      </c>
      <c r="C34">
        <v>26180</v>
      </c>
      <c r="D34">
        <v>1235</v>
      </c>
      <c r="E34">
        <v>35500</v>
      </c>
      <c r="F34">
        <v>1650</v>
      </c>
      <c r="G34">
        <f t="shared" si="1"/>
        <v>0</v>
      </c>
      <c r="H34">
        <f t="shared" si="2"/>
        <v>0</v>
      </c>
      <c r="I34">
        <f t="shared" si="3"/>
        <v>0</v>
      </c>
      <c r="J34">
        <f t="shared" si="4"/>
        <v>0</v>
      </c>
      <c r="K34">
        <f t="shared" si="5"/>
        <v>0</v>
      </c>
    </row>
    <row r="35" spans="1:11" x14ac:dyDescent="0.35">
      <c r="A35" s="1">
        <v>42143</v>
      </c>
      <c r="B35">
        <v>1875</v>
      </c>
      <c r="C35">
        <v>26580</v>
      </c>
      <c r="D35">
        <v>1275</v>
      </c>
      <c r="E35">
        <v>36200</v>
      </c>
      <c r="F35">
        <v>1700</v>
      </c>
      <c r="G35">
        <f t="shared" si="1"/>
        <v>-4.5801526717557217E-2</v>
      </c>
      <c r="H35">
        <f t="shared" si="2"/>
        <v>1.5278838808250539E-2</v>
      </c>
      <c r="I35">
        <f t="shared" si="3"/>
        <v>3.238866396761142E-2</v>
      </c>
      <c r="J35">
        <f t="shared" si="4"/>
        <v>1.9718309859154903E-2</v>
      </c>
      <c r="K35">
        <f t="shared" si="5"/>
        <v>3.0303030303030276E-2</v>
      </c>
    </row>
    <row r="36" spans="1:11" x14ac:dyDescent="0.35">
      <c r="A36" s="1">
        <v>42144</v>
      </c>
      <c r="B36">
        <v>1905</v>
      </c>
      <c r="C36">
        <v>26660</v>
      </c>
      <c r="D36">
        <v>1280</v>
      </c>
      <c r="E36">
        <v>35200</v>
      </c>
      <c r="F36">
        <v>1695</v>
      </c>
      <c r="G36">
        <f t="shared" si="1"/>
        <v>1.6000000000000014E-2</v>
      </c>
      <c r="H36">
        <f t="shared" si="2"/>
        <v>3.0097817908201208E-3</v>
      </c>
      <c r="I36">
        <f t="shared" si="3"/>
        <v>3.9215686274509665E-3</v>
      </c>
      <c r="J36">
        <f t="shared" si="4"/>
        <v>-2.7624309392265234E-2</v>
      </c>
      <c r="K36">
        <f t="shared" si="5"/>
        <v>-2.9411764705882248E-3</v>
      </c>
    </row>
    <row r="37" spans="1:11" x14ac:dyDescent="0.35">
      <c r="A37" s="1">
        <v>42145</v>
      </c>
      <c r="B37">
        <v>1930</v>
      </c>
      <c r="C37">
        <v>26020</v>
      </c>
      <c r="D37">
        <v>1280</v>
      </c>
      <c r="E37">
        <v>35240</v>
      </c>
      <c r="F37">
        <v>1695</v>
      </c>
      <c r="G37">
        <f t="shared" si="1"/>
        <v>1.3123359580052396E-2</v>
      </c>
      <c r="H37">
        <f t="shared" si="2"/>
        <v>-2.4006001500375129E-2</v>
      </c>
      <c r="I37">
        <f t="shared" si="3"/>
        <v>0</v>
      </c>
      <c r="J37">
        <f t="shared" si="4"/>
        <v>1.1363636363637131E-3</v>
      </c>
      <c r="K37">
        <f t="shared" si="5"/>
        <v>0</v>
      </c>
    </row>
    <row r="38" spans="1:11" x14ac:dyDescent="0.35">
      <c r="A38" s="1">
        <v>42146</v>
      </c>
      <c r="B38">
        <v>1935</v>
      </c>
      <c r="C38">
        <v>25900</v>
      </c>
      <c r="D38">
        <v>1280</v>
      </c>
      <c r="E38">
        <v>35020</v>
      </c>
      <c r="F38">
        <v>1700</v>
      </c>
      <c r="G38">
        <f t="shared" si="1"/>
        <v>2.5906735751295429E-3</v>
      </c>
      <c r="H38">
        <f t="shared" si="2"/>
        <v>-4.6118370484242721E-3</v>
      </c>
      <c r="I38">
        <f t="shared" si="3"/>
        <v>0</v>
      </c>
      <c r="J38">
        <f t="shared" si="4"/>
        <v>-6.2429057888763184E-3</v>
      </c>
      <c r="K38">
        <f t="shared" si="5"/>
        <v>2.9498525073745618E-3</v>
      </c>
    </row>
    <row r="39" spans="1:11" x14ac:dyDescent="0.35">
      <c r="A39" s="1">
        <v>42149</v>
      </c>
      <c r="B39">
        <v>1925</v>
      </c>
      <c r="C39">
        <v>25700</v>
      </c>
      <c r="D39">
        <v>1285</v>
      </c>
      <c r="E39">
        <v>34900</v>
      </c>
      <c r="F39">
        <v>1700</v>
      </c>
      <c r="G39">
        <f t="shared" si="1"/>
        <v>-5.1679586563307955E-3</v>
      </c>
      <c r="H39">
        <f t="shared" si="2"/>
        <v>-7.7220077220077066E-3</v>
      </c>
      <c r="I39">
        <f t="shared" si="3"/>
        <v>3.90625E-3</v>
      </c>
      <c r="J39">
        <f t="shared" si="4"/>
        <v>-3.4266133637921303E-3</v>
      </c>
      <c r="K39">
        <f t="shared" si="5"/>
        <v>0</v>
      </c>
    </row>
    <row r="40" spans="1:11" x14ac:dyDescent="0.35">
      <c r="A40" s="1">
        <v>42150</v>
      </c>
      <c r="B40">
        <v>1890</v>
      </c>
      <c r="C40">
        <v>25200</v>
      </c>
      <c r="D40">
        <v>1280</v>
      </c>
      <c r="E40">
        <v>34600</v>
      </c>
      <c r="F40">
        <v>1720</v>
      </c>
      <c r="G40">
        <f t="shared" si="1"/>
        <v>-1.8181818181818188E-2</v>
      </c>
      <c r="H40">
        <f t="shared" si="2"/>
        <v>-1.945525291828798E-2</v>
      </c>
      <c r="I40">
        <f t="shared" si="3"/>
        <v>-3.8910505836575737E-3</v>
      </c>
      <c r="J40">
        <f t="shared" si="4"/>
        <v>-8.5959885386819312E-3</v>
      </c>
      <c r="K40">
        <f t="shared" si="5"/>
        <v>1.1764705882352899E-2</v>
      </c>
    </row>
    <row r="41" spans="1:11" x14ac:dyDescent="0.35">
      <c r="A41" s="1">
        <v>42151</v>
      </c>
      <c r="B41">
        <v>1805</v>
      </c>
      <c r="C41">
        <v>24880</v>
      </c>
      <c r="D41">
        <v>1270</v>
      </c>
      <c r="E41">
        <v>33320</v>
      </c>
      <c r="F41">
        <v>1650</v>
      </c>
      <c r="G41">
        <f t="shared" si="1"/>
        <v>-4.4973544973544999E-2</v>
      </c>
      <c r="H41">
        <f t="shared" si="2"/>
        <v>-1.2698412698412653E-2</v>
      </c>
      <c r="I41">
        <f t="shared" si="3"/>
        <v>-7.8125E-3</v>
      </c>
      <c r="J41">
        <f t="shared" si="4"/>
        <v>-3.6994219653179172E-2</v>
      </c>
      <c r="K41">
        <f t="shared" si="5"/>
        <v>-4.0697674418604612E-2</v>
      </c>
    </row>
    <row r="42" spans="1:11" x14ac:dyDescent="0.35">
      <c r="A42" s="1">
        <v>42152</v>
      </c>
      <c r="B42">
        <v>1840</v>
      </c>
      <c r="C42">
        <v>24540</v>
      </c>
      <c r="D42">
        <v>1255</v>
      </c>
      <c r="E42">
        <v>33280</v>
      </c>
      <c r="F42">
        <v>1695</v>
      </c>
      <c r="G42">
        <f t="shared" si="1"/>
        <v>1.939058171745156E-2</v>
      </c>
      <c r="H42">
        <f t="shared" si="2"/>
        <v>-1.3665594855305496E-2</v>
      </c>
      <c r="I42">
        <f t="shared" si="3"/>
        <v>-1.1811023622047223E-2</v>
      </c>
      <c r="J42">
        <f t="shared" si="4"/>
        <v>-1.2004801920768582E-3</v>
      </c>
      <c r="K42">
        <f t="shared" si="5"/>
        <v>2.7272727272727337E-2</v>
      </c>
    </row>
    <row r="43" spans="1:11" x14ac:dyDescent="0.35">
      <c r="A43" s="1">
        <v>42153</v>
      </c>
      <c r="B43">
        <v>1815</v>
      </c>
      <c r="C43">
        <v>24600</v>
      </c>
      <c r="D43">
        <v>1260</v>
      </c>
      <c r="E43">
        <v>33820</v>
      </c>
      <c r="F43">
        <v>1680</v>
      </c>
      <c r="G43">
        <f t="shared" si="1"/>
        <v>-1.3586956521739135E-2</v>
      </c>
      <c r="H43">
        <f t="shared" si="2"/>
        <v>2.4449877750611915E-3</v>
      </c>
      <c r="I43">
        <f t="shared" si="3"/>
        <v>3.9840637450199168E-3</v>
      </c>
      <c r="J43">
        <f t="shared" si="4"/>
        <v>1.6225961538461453E-2</v>
      </c>
      <c r="K43">
        <f t="shared" si="5"/>
        <v>-8.8495575221239076E-3</v>
      </c>
    </row>
    <row r="44" spans="1:11" x14ac:dyDescent="0.35">
      <c r="A44" s="1">
        <v>42156</v>
      </c>
      <c r="B44">
        <v>1800</v>
      </c>
      <c r="C44">
        <v>24240</v>
      </c>
      <c r="D44">
        <v>1285</v>
      </c>
      <c r="E44">
        <v>33620</v>
      </c>
      <c r="F44">
        <v>1665</v>
      </c>
      <c r="G44">
        <f t="shared" si="1"/>
        <v>-8.2644628099173278E-3</v>
      </c>
      <c r="H44">
        <f t="shared" si="2"/>
        <v>-1.4634146341463428E-2</v>
      </c>
      <c r="I44">
        <f t="shared" si="3"/>
        <v>1.9841269841269771E-2</v>
      </c>
      <c r="J44">
        <f t="shared" si="4"/>
        <v>-5.9136605558840483E-3</v>
      </c>
      <c r="K44">
        <f t="shared" si="5"/>
        <v>-8.9285714285713969E-3</v>
      </c>
    </row>
    <row r="45" spans="1:11" x14ac:dyDescent="0.35">
      <c r="A45" s="1">
        <v>42157</v>
      </c>
      <c r="B45">
        <v>1815</v>
      </c>
      <c r="C45">
        <v>24800</v>
      </c>
      <c r="D45">
        <v>1285</v>
      </c>
      <c r="E45">
        <v>34020</v>
      </c>
      <c r="F45">
        <v>1665</v>
      </c>
      <c r="G45">
        <f t="shared" si="1"/>
        <v>8.3333333333333037E-3</v>
      </c>
      <c r="H45">
        <f t="shared" si="2"/>
        <v>2.3102310231023049E-2</v>
      </c>
      <c r="I45">
        <f t="shared" si="3"/>
        <v>0</v>
      </c>
      <c r="J45">
        <f t="shared" si="4"/>
        <v>1.1897679952409312E-2</v>
      </c>
      <c r="K45">
        <f t="shared" si="5"/>
        <v>0</v>
      </c>
    </row>
    <row r="46" spans="1:11" x14ac:dyDescent="0.35">
      <c r="A46" s="1">
        <v>42158</v>
      </c>
      <c r="B46">
        <v>1805</v>
      </c>
      <c r="C46">
        <v>24580</v>
      </c>
      <c r="D46">
        <v>1285</v>
      </c>
      <c r="E46">
        <v>34400</v>
      </c>
      <c r="F46">
        <v>1680</v>
      </c>
      <c r="G46">
        <f t="shared" si="1"/>
        <v>-5.5096418732781816E-3</v>
      </c>
      <c r="H46">
        <f t="shared" si="2"/>
        <v>-8.8709677419355204E-3</v>
      </c>
      <c r="I46">
        <f t="shared" si="3"/>
        <v>0</v>
      </c>
      <c r="J46">
        <f t="shared" si="4"/>
        <v>1.116990005878904E-2</v>
      </c>
      <c r="K46">
        <f t="shared" si="5"/>
        <v>9.009009009008917E-3</v>
      </c>
    </row>
    <row r="47" spans="1:11" x14ac:dyDescent="0.35">
      <c r="A47" s="1">
        <v>42159</v>
      </c>
      <c r="B47">
        <v>1800</v>
      </c>
      <c r="C47">
        <v>24400</v>
      </c>
      <c r="D47">
        <v>1285</v>
      </c>
      <c r="E47">
        <v>34820</v>
      </c>
      <c r="F47">
        <v>1675</v>
      </c>
      <c r="G47">
        <f t="shared" si="1"/>
        <v>-2.7700831024930483E-3</v>
      </c>
      <c r="H47">
        <f t="shared" si="2"/>
        <v>-7.3230268510984242E-3</v>
      </c>
      <c r="I47">
        <f t="shared" si="3"/>
        <v>0</v>
      </c>
      <c r="J47">
        <f t="shared" si="4"/>
        <v>1.2209302325581373E-2</v>
      </c>
      <c r="K47">
        <f t="shared" si="5"/>
        <v>-2.9761904761904656E-3</v>
      </c>
    </row>
    <row r="48" spans="1:11" x14ac:dyDescent="0.35">
      <c r="A48" s="1">
        <v>42160</v>
      </c>
      <c r="B48">
        <v>1815</v>
      </c>
      <c r="C48">
        <v>24760</v>
      </c>
      <c r="D48">
        <v>1285</v>
      </c>
      <c r="E48">
        <v>35500</v>
      </c>
      <c r="F48">
        <v>1680</v>
      </c>
      <c r="G48">
        <f t="shared" si="1"/>
        <v>8.3333333333333037E-3</v>
      </c>
      <c r="H48">
        <f t="shared" si="2"/>
        <v>1.4754098360655776E-2</v>
      </c>
      <c r="I48">
        <f t="shared" si="3"/>
        <v>0</v>
      </c>
      <c r="J48">
        <f t="shared" si="4"/>
        <v>1.9529006318207864E-2</v>
      </c>
      <c r="K48">
        <f t="shared" si="5"/>
        <v>2.9850746268655914E-3</v>
      </c>
    </row>
    <row r="49" spans="1:11" x14ac:dyDescent="0.35">
      <c r="A49" s="1">
        <v>42163</v>
      </c>
      <c r="B49">
        <v>1815</v>
      </c>
      <c r="C49">
        <v>24760</v>
      </c>
      <c r="D49">
        <v>1285</v>
      </c>
      <c r="E49">
        <v>35500</v>
      </c>
      <c r="F49">
        <v>1680</v>
      </c>
      <c r="G49">
        <f t="shared" si="1"/>
        <v>0</v>
      </c>
      <c r="H49">
        <f t="shared" si="2"/>
        <v>0</v>
      </c>
      <c r="I49">
        <f t="shared" si="3"/>
        <v>0</v>
      </c>
      <c r="J49">
        <f t="shared" si="4"/>
        <v>0</v>
      </c>
      <c r="K49">
        <f t="shared" si="5"/>
        <v>0</v>
      </c>
    </row>
    <row r="50" spans="1:11" x14ac:dyDescent="0.35">
      <c r="A50" s="1">
        <v>42164</v>
      </c>
      <c r="B50">
        <v>1835</v>
      </c>
      <c r="C50">
        <v>24120</v>
      </c>
      <c r="D50">
        <v>1225</v>
      </c>
      <c r="E50">
        <v>35700</v>
      </c>
      <c r="F50">
        <v>1705</v>
      </c>
      <c r="G50">
        <f t="shared" si="1"/>
        <v>1.1019283746556363E-2</v>
      </c>
      <c r="H50">
        <f t="shared" si="2"/>
        <v>-2.5848142164781929E-2</v>
      </c>
      <c r="I50">
        <f t="shared" si="3"/>
        <v>-4.6692607003890996E-2</v>
      </c>
      <c r="J50">
        <f t="shared" si="4"/>
        <v>5.6338028169014009E-3</v>
      </c>
      <c r="K50">
        <f t="shared" si="5"/>
        <v>1.4880952380952328E-2</v>
      </c>
    </row>
    <row r="51" spans="1:11" x14ac:dyDescent="0.35">
      <c r="A51" s="1">
        <v>42165</v>
      </c>
      <c r="B51">
        <v>1840</v>
      </c>
      <c r="C51">
        <v>24740</v>
      </c>
      <c r="D51">
        <v>1235</v>
      </c>
      <c r="E51">
        <v>35660</v>
      </c>
      <c r="F51">
        <v>1695</v>
      </c>
      <c r="G51">
        <f t="shared" si="1"/>
        <v>2.7247956403269047E-3</v>
      </c>
      <c r="H51">
        <f t="shared" si="2"/>
        <v>2.5704809286898778E-2</v>
      </c>
      <c r="I51">
        <f t="shared" si="3"/>
        <v>8.1632653061225469E-3</v>
      </c>
      <c r="J51">
        <f t="shared" si="4"/>
        <v>-1.1204481792717047E-3</v>
      </c>
      <c r="K51">
        <f t="shared" si="5"/>
        <v>-5.8651026392961825E-3</v>
      </c>
    </row>
    <row r="52" spans="1:11" x14ac:dyDescent="0.35">
      <c r="A52" s="1">
        <v>42166</v>
      </c>
      <c r="B52">
        <v>1810</v>
      </c>
      <c r="C52">
        <v>25300</v>
      </c>
      <c r="D52">
        <v>1225</v>
      </c>
      <c r="E52">
        <v>36180</v>
      </c>
      <c r="F52">
        <v>1695</v>
      </c>
      <c r="G52">
        <f t="shared" si="1"/>
        <v>-1.6304347826086918E-2</v>
      </c>
      <c r="H52">
        <f t="shared" si="2"/>
        <v>2.2635408245755828E-2</v>
      </c>
      <c r="I52">
        <f t="shared" si="3"/>
        <v>-8.0971659919027994E-3</v>
      </c>
      <c r="J52">
        <f t="shared" si="4"/>
        <v>1.4582164890633686E-2</v>
      </c>
      <c r="K52">
        <f t="shared" si="5"/>
        <v>0</v>
      </c>
    </row>
    <row r="53" spans="1:11" x14ac:dyDescent="0.35">
      <c r="A53" s="1">
        <v>42167</v>
      </c>
      <c r="B53">
        <v>1790</v>
      </c>
      <c r="C53">
        <v>25300</v>
      </c>
      <c r="D53">
        <v>1230</v>
      </c>
      <c r="E53">
        <v>36300</v>
      </c>
      <c r="F53">
        <v>1700</v>
      </c>
      <c r="G53">
        <f t="shared" si="1"/>
        <v>-1.1049723756906049E-2</v>
      </c>
      <c r="H53">
        <f t="shared" si="2"/>
        <v>0</v>
      </c>
      <c r="I53">
        <f t="shared" si="3"/>
        <v>4.0816326530612734E-3</v>
      </c>
      <c r="J53">
        <f t="shared" si="4"/>
        <v>3.3167495854062867E-3</v>
      </c>
      <c r="K53">
        <f t="shared" si="5"/>
        <v>2.9498525073745618E-3</v>
      </c>
    </row>
    <row r="54" spans="1:11" x14ac:dyDescent="0.35">
      <c r="A54" s="1">
        <v>42170</v>
      </c>
      <c r="B54">
        <v>1790</v>
      </c>
      <c r="C54">
        <v>25300</v>
      </c>
      <c r="D54">
        <v>1230</v>
      </c>
      <c r="E54">
        <v>36300</v>
      </c>
      <c r="F54">
        <v>1700</v>
      </c>
      <c r="G54">
        <f t="shared" si="1"/>
        <v>0</v>
      </c>
      <c r="H54">
        <f t="shared" si="2"/>
        <v>0</v>
      </c>
      <c r="I54">
        <f t="shared" si="3"/>
        <v>0</v>
      </c>
      <c r="J54">
        <f t="shared" si="4"/>
        <v>0</v>
      </c>
      <c r="K54">
        <f t="shared" si="5"/>
        <v>0</v>
      </c>
    </row>
    <row r="55" spans="1:11" x14ac:dyDescent="0.35">
      <c r="A55" s="1">
        <v>42171</v>
      </c>
      <c r="B55">
        <v>1625</v>
      </c>
      <c r="C55">
        <v>26200</v>
      </c>
      <c r="D55">
        <v>1230</v>
      </c>
      <c r="E55">
        <v>36320</v>
      </c>
      <c r="F55">
        <v>1710</v>
      </c>
      <c r="G55">
        <f t="shared" si="1"/>
        <v>-9.2178770949720712E-2</v>
      </c>
      <c r="H55">
        <f t="shared" si="2"/>
        <v>3.5573122529644285E-2</v>
      </c>
      <c r="I55">
        <f t="shared" si="3"/>
        <v>0</v>
      </c>
      <c r="J55">
        <f t="shared" si="4"/>
        <v>5.5096418732780705E-4</v>
      </c>
      <c r="K55">
        <f t="shared" si="5"/>
        <v>5.8823529411764497E-3</v>
      </c>
    </row>
    <row r="56" spans="1:11" x14ac:dyDescent="0.35">
      <c r="A56" s="1">
        <v>42172</v>
      </c>
      <c r="B56">
        <v>1645</v>
      </c>
      <c r="C56">
        <v>26100</v>
      </c>
      <c r="D56">
        <v>1230</v>
      </c>
      <c r="E56">
        <v>36900</v>
      </c>
      <c r="F56">
        <v>1700</v>
      </c>
      <c r="G56">
        <f t="shared" si="1"/>
        <v>1.2307692307692353E-2</v>
      </c>
      <c r="H56">
        <f t="shared" si="2"/>
        <v>-3.8167938931297218E-3</v>
      </c>
      <c r="I56">
        <f t="shared" si="3"/>
        <v>0</v>
      </c>
      <c r="J56">
        <f t="shared" si="4"/>
        <v>1.5969162995594699E-2</v>
      </c>
      <c r="K56">
        <f t="shared" si="5"/>
        <v>-5.8479532163743242E-3</v>
      </c>
    </row>
    <row r="57" spans="1:11" x14ac:dyDescent="0.35">
      <c r="A57" s="1">
        <v>42173</v>
      </c>
      <c r="B57">
        <v>1665</v>
      </c>
      <c r="C57">
        <v>26380</v>
      </c>
      <c r="D57">
        <v>1250</v>
      </c>
      <c r="E57">
        <v>37000</v>
      </c>
      <c r="F57">
        <v>1700</v>
      </c>
      <c r="G57">
        <f t="shared" si="1"/>
        <v>1.2158054711246091E-2</v>
      </c>
      <c r="H57">
        <f t="shared" si="2"/>
        <v>1.072796934865905E-2</v>
      </c>
      <c r="I57">
        <f t="shared" si="3"/>
        <v>1.6260162601626105E-2</v>
      </c>
      <c r="J57">
        <f t="shared" si="4"/>
        <v>2.7100271002709064E-3</v>
      </c>
      <c r="K57">
        <f t="shared" si="5"/>
        <v>0</v>
      </c>
    </row>
    <row r="58" spans="1:11" x14ac:dyDescent="0.35">
      <c r="A58" s="1">
        <v>42174</v>
      </c>
      <c r="B58">
        <v>1635</v>
      </c>
      <c r="C58">
        <v>26240</v>
      </c>
      <c r="D58">
        <v>1240</v>
      </c>
      <c r="E58">
        <v>36600</v>
      </c>
      <c r="F58">
        <v>1600</v>
      </c>
      <c r="G58">
        <f t="shared" si="1"/>
        <v>-1.8018018018018056E-2</v>
      </c>
      <c r="H58">
        <f t="shared" si="2"/>
        <v>-5.3070507960576441E-3</v>
      </c>
      <c r="I58">
        <f t="shared" si="3"/>
        <v>-8.0000000000000071E-3</v>
      </c>
      <c r="J58">
        <f t="shared" si="4"/>
        <v>-1.0810810810810811E-2</v>
      </c>
      <c r="K58">
        <f t="shared" si="5"/>
        <v>-5.8823529411764719E-2</v>
      </c>
    </row>
    <row r="59" spans="1:11" x14ac:dyDescent="0.35">
      <c r="A59" s="1">
        <v>42177</v>
      </c>
      <c r="B59">
        <v>1655</v>
      </c>
      <c r="C59">
        <v>26360</v>
      </c>
      <c r="D59">
        <v>1225</v>
      </c>
      <c r="E59">
        <v>36540</v>
      </c>
      <c r="F59">
        <v>1590</v>
      </c>
      <c r="G59">
        <f t="shared" si="1"/>
        <v>1.2232415902140747E-2</v>
      </c>
      <c r="H59">
        <f t="shared" si="2"/>
        <v>4.5731707317073766E-3</v>
      </c>
      <c r="I59">
        <f t="shared" si="3"/>
        <v>-1.2096774193548376E-2</v>
      </c>
      <c r="J59">
        <f t="shared" si="4"/>
        <v>-1.6393442622950616E-3</v>
      </c>
      <c r="K59">
        <f t="shared" si="5"/>
        <v>-6.2499999999999778E-3</v>
      </c>
    </row>
    <row r="60" spans="1:11" x14ac:dyDescent="0.35">
      <c r="A60" s="1">
        <v>42178</v>
      </c>
      <c r="B60">
        <v>1725</v>
      </c>
      <c r="C60">
        <v>26460</v>
      </c>
      <c r="D60">
        <v>1250</v>
      </c>
      <c r="E60">
        <v>36780</v>
      </c>
      <c r="F60">
        <v>1595</v>
      </c>
      <c r="G60">
        <f t="shared" si="1"/>
        <v>4.2296072507552962E-2</v>
      </c>
      <c r="H60">
        <f t="shared" si="2"/>
        <v>3.793626707132125E-3</v>
      </c>
      <c r="I60">
        <f t="shared" si="3"/>
        <v>2.0408163265306145E-2</v>
      </c>
      <c r="J60">
        <f t="shared" si="4"/>
        <v>6.5681444991789739E-3</v>
      </c>
      <c r="K60">
        <f t="shared" si="5"/>
        <v>3.1446540880504248E-3</v>
      </c>
    </row>
    <row r="61" spans="1:11" x14ac:dyDescent="0.35">
      <c r="A61" s="1">
        <v>42179</v>
      </c>
      <c r="B61">
        <v>1725</v>
      </c>
      <c r="C61">
        <v>26240</v>
      </c>
      <c r="D61">
        <v>1255</v>
      </c>
      <c r="E61">
        <v>36740</v>
      </c>
      <c r="F61">
        <v>1600</v>
      </c>
      <c r="G61">
        <f t="shared" si="1"/>
        <v>0</v>
      </c>
      <c r="H61">
        <f t="shared" si="2"/>
        <v>-8.3144368858654172E-3</v>
      </c>
      <c r="I61">
        <f t="shared" si="3"/>
        <v>4.0000000000000036E-3</v>
      </c>
      <c r="J61">
        <f t="shared" si="4"/>
        <v>-1.0875475802066825E-3</v>
      </c>
      <c r="K61">
        <f t="shared" si="5"/>
        <v>3.1347962382444194E-3</v>
      </c>
    </row>
    <row r="62" spans="1:11" x14ac:dyDescent="0.35">
      <c r="A62" s="1">
        <v>42180</v>
      </c>
      <c r="B62">
        <v>1695</v>
      </c>
      <c r="C62">
        <v>26060</v>
      </c>
      <c r="D62">
        <v>1250</v>
      </c>
      <c r="E62">
        <v>35940</v>
      </c>
      <c r="F62">
        <v>1590</v>
      </c>
      <c r="G62">
        <f t="shared" si="1"/>
        <v>-1.7391304347826098E-2</v>
      </c>
      <c r="H62">
        <f t="shared" si="2"/>
        <v>-6.8597560975609539E-3</v>
      </c>
      <c r="I62">
        <f t="shared" si="3"/>
        <v>-3.9840637450199168E-3</v>
      </c>
      <c r="J62">
        <f t="shared" si="4"/>
        <v>-2.1774632553075657E-2</v>
      </c>
      <c r="K62">
        <f t="shared" si="5"/>
        <v>-6.2499999999999778E-3</v>
      </c>
    </row>
    <row r="63" spans="1:11" x14ac:dyDescent="0.35">
      <c r="A63" s="1">
        <v>42181</v>
      </c>
      <c r="B63">
        <v>1710</v>
      </c>
      <c r="C63">
        <v>26460</v>
      </c>
      <c r="D63">
        <v>1260</v>
      </c>
      <c r="E63">
        <v>36340</v>
      </c>
      <c r="F63">
        <v>1600</v>
      </c>
      <c r="G63">
        <f t="shared" si="1"/>
        <v>8.8495575221239076E-3</v>
      </c>
      <c r="H63">
        <f t="shared" si="2"/>
        <v>1.534919416730629E-2</v>
      </c>
      <c r="I63">
        <f t="shared" si="3"/>
        <v>8.0000000000000071E-3</v>
      </c>
      <c r="J63">
        <f t="shared" si="4"/>
        <v>1.112966054535347E-2</v>
      </c>
      <c r="K63">
        <f t="shared" si="5"/>
        <v>6.2893081761006275E-3</v>
      </c>
    </row>
    <row r="64" spans="1:11" x14ac:dyDescent="0.35">
      <c r="A64" s="1">
        <v>42184</v>
      </c>
      <c r="B64">
        <v>1710</v>
      </c>
      <c r="C64">
        <v>26460</v>
      </c>
      <c r="D64">
        <v>1260</v>
      </c>
      <c r="E64">
        <v>36340</v>
      </c>
      <c r="F64">
        <v>1600</v>
      </c>
      <c r="G64">
        <f t="shared" si="1"/>
        <v>0</v>
      </c>
      <c r="H64">
        <f t="shared" si="2"/>
        <v>0</v>
      </c>
      <c r="I64">
        <f t="shared" si="3"/>
        <v>0</v>
      </c>
      <c r="J64">
        <f t="shared" si="4"/>
        <v>0</v>
      </c>
      <c r="K64">
        <f t="shared" si="5"/>
        <v>0</v>
      </c>
    </row>
    <row r="65" spans="1:11" x14ac:dyDescent="0.35">
      <c r="A65" s="1">
        <v>42185</v>
      </c>
      <c r="B65">
        <v>1730</v>
      </c>
      <c r="C65">
        <v>26700</v>
      </c>
      <c r="D65">
        <v>1270</v>
      </c>
      <c r="E65">
        <v>37020</v>
      </c>
      <c r="F65">
        <v>1590</v>
      </c>
      <c r="G65">
        <f t="shared" si="1"/>
        <v>1.1695906432748648E-2</v>
      </c>
      <c r="H65">
        <f t="shared" si="2"/>
        <v>9.0702947845804349E-3</v>
      </c>
      <c r="I65">
        <f t="shared" si="3"/>
        <v>7.9365079365079083E-3</v>
      </c>
      <c r="J65">
        <f t="shared" si="4"/>
        <v>1.8712162905888841E-2</v>
      </c>
      <c r="K65">
        <f t="shared" si="5"/>
        <v>-6.2499999999999778E-3</v>
      </c>
    </row>
    <row r="66" spans="1:11" x14ac:dyDescent="0.35">
      <c r="A66" s="1">
        <v>42186</v>
      </c>
      <c r="B66">
        <v>1645</v>
      </c>
      <c r="C66">
        <v>26300</v>
      </c>
      <c r="D66">
        <v>1280</v>
      </c>
      <c r="E66">
        <v>37220</v>
      </c>
      <c r="F66">
        <v>1560</v>
      </c>
      <c r="G66">
        <f t="shared" si="1"/>
        <v>-4.9132947976878616E-2</v>
      </c>
      <c r="H66">
        <f t="shared" si="2"/>
        <v>-1.4981273408239737E-2</v>
      </c>
      <c r="I66">
        <f t="shared" si="3"/>
        <v>7.8740157480314821E-3</v>
      </c>
      <c r="J66">
        <f t="shared" si="4"/>
        <v>5.4024851431657694E-3</v>
      </c>
      <c r="K66">
        <f t="shared" si="5"/>
        <v>-1.8867924528301883E-2</v>
      </c>
    </row>
    <row r="67" spans="1:11" x14ac:dyDescent="0.35">
      <c r="A67" s="1">
        <v>42187</v>
      </c>
      <c r="B67">
        <v>1675</v>
      </c>
      <c r="C67">
        <v>26100</v>
      </c>
      <c r="D67">
        <v>1265</v>
      </c>
      <c r="E67">
        <v>37340</v>
      </c>
      <c r="F67">
        <v>1580</v>
      </c>
      <c r="G67">
        <f t="shared" si="1"/>
        <v>1.8237082066869359E-2</v>
      </c>
      <c r="H67">
        <f t="shared" si="2"/>
        <v>-7.6045627376425395E-3</v>
      </c>
      <c r="I67">
        <f t="shared" si="3"/>
        <v>-1.171875E-2</v>
      </c>
      <c r="J67">
        <f t="shared" si="4"/>
        <v>3.2240730789898642E-3</v>
      </c>
      <c r="K67">
        <f t="shared" si="5"/>
        <v>1.2820512820512775E-2</v>
      </c>
    </row>
    <row r="68" spans="1:11" x14ac:dyDescent="0.35">
      <c r="A68" s="1">
        <v>42188</v>
      </c>
      <c r="B68">
        <v>1650</v>
      </c>
      <c r="C68">
        <v>26100</v>
      </c>
      <c r="D68">
        <v>1260</v>
      </c>
      <c r="E68">
        <v>36680</v>
      </c>
      <c r="F68">
        <v>1595</v>
      </c>
      <c r="G68">
        <f t="shared" ref="G68:G131" si="6">B68/B67-1</f>
        <v>-1.4925373134328401E-2</v>
      </c>
      <c r="H68">
        <f t="shared" ref="H68:H131" si="7">C68/C67-1</f>
        <v>0</v>
      </c>
      <c r="I68">
        <f t="shared" ref="I68:I131" si="8">D68/D67-1</f>
        <v>-3.9525691699604515E-3</v>
      </c>
      <c r="J68">
        <f t="shared" ref="J68:J131" si="9">E68/E67-1</f>
        <v>-1.7675415104445591E-2</v>
      </c>
      <c r="K68">
        <f t="shared" ref="K68:K131" si="10">F68/F67-1</f>
        <v>9.493670886076E-3</v>
      </c>
    </row>
    <row r="69" spans="1:11" x14ac:dyDescent="0.35">
      <c r="A69" s="1">
        <v>42191</v>
      </c>
      <c r="B69">
        <v>1635</v>
      </c>
      <c r="C69">
        <v>25740</v>
      </c>
      <c r="D69">
        <v>1250</v>
      </c>
      <c r="E69">
        <v>36740</v>
      </c>
      <c r="F69">
        <v>1580</v>
      </c>
      <c r="G69">
        <f t="shared" si="6"/>
        <v>-9.0909090909090384E-3</v>
      </c>
      <c r="H69">
        <f t="shared" si="7"/>
        <v>-1.379310344827589E-2</v>
      </c>
      <c r="I69">
        <f t="shared" si="8"/>
        <v>-7.9365079365079083E-3</v>
      </c>
      <c r="J69">
        <f t="shared" si="9"/>
        <v>1.6357688113413094E-3</v>
      </c>
      <c r="K69">
        <f t="shared" si="10"/>
        <v>-9.4043887147335914E-3</v>
      </c>
    </row>
    <row r="70" spans="1:11" x14ac:dyDescent="0.35">
      <c r="A70" s="1">
        <v>42192</v>
      </c>
      <c r="B70">
        <v>1650</v>
      </c>
      <c r="C70">
        <v>25600</v>
      </c>
      <c r="D70">
        <v>1245</v>
      </c>
      <c r="E70">
        <v>36600</v>
      </c>
      <c r="F70">
        <v>1585</v>
      </c>
      <c r="G70">
        <f t="shared" si="6"/>
        <v>9.1743119266054496E-3</v>
      </c>
      <c r="H70">
        <f t="shared" si="7"/>
        <v>-5.4390054390054399E-3</v>
      </c>
      <c r="I70">
        <f t="shared" si="8"/>
        <v>-4.0000000000000036E-3</v>
      </c>
      <c r="J70">
        <f t="shared" si="9"/>
        <v>-3.8105606967882011E-3</v>
      </c>
      <c r="K70">
        <f t="shared" si="10"/>
        <v>3.1645569620253333E-3</v>
      </c>
    </row>
    <row r="71" spans="1:11" x14ac:dyDescent="0.35">
      <c r="A71" s="1">
        <v>42193</v>
      </c>
      <c r="B71">
        <v>1600</v>
      </c>
      <c r="C71">
        <v>25420</v>
      </c>
      <c r="D71">
        <v>1230</v>
      </c>
      <c r="E71">
        <v>36460</v>
      </c>
      <c r="F71">
        <v>1585</v>
      </c>
      <c r="G71">
        <f t="shared" si="6"/>
        <v>-3.0303030303030276E-2</v>
      </c>
      <c r="H71">
        <f t="shared" si="7"/>
        <v>-7.0312500000000444E-3</v>
      </c>
      <c r="I71">
        <f t="shared" si="8"/>
        <v>-1.2048192771084376E-2</v>
      </c>
      <c r="J71">
        <f t="shared" si="9"/>
        <v>-3.8251366120218844E-3</v>
      </c>
      <c r="K71">
        <f t="shared" si="10"/>
        <v>0</v>
      </c>
    </row>
    <row r="72" spans="1:11" x14ac:dyDescent="0.35">
      <c r="A72" s="1">
        <v>42194</v>
      </c>
      <c r="B72">
        <v>1645</v>
      </c>
      <c r="C72">
        <v>25680</v>
      </c>
      <c r="D72">
        <v>1230</v>
      </c>
      <c r="E72">
        <v>36700</v>
      </c>
      <c r="F72">
        <v>1590</v>
      </c>
      <c r="G72">
        <f t="shared" si="6"/>
        <v>2.8124999999999956E-2</v>
      </c>
      <c r="H72">
        <f t="shared" si="7"/>
        <v>1.0228166797797034E-2</v>
      </c>
      <c r="I72">
        <f t="shared" si="8"/>
        <v>0</v>
      </c>
      <c r="J72">
        <f t="shared" si="9"/>
        <v>6.5825562260011239E-3</v>
      </c>
      <c r="K72">
        <f t="shared" si="10"/>
        <v>3.154574132492094E-3</v>
      </c>
    </row>
    <row r="73" spans="1:11" x14ac:dyDescent="0.35">
      <c r="A73" s="1">
        <v>42195</v>
      </c>
      <c r="B73">
        <v>1625</v>
      </c>
      <c r="C73">
        <v>26500</v>
      </c>
      <c r="D73">
        <v>1230</v>
      </c>
      <c r="E73">
        <v>36400</v>
      </c>
      <c r="F73">
        <v>1615</v>
      </c>
      <c r="G73">
        <f t="shared" si="6"/>
        <v>-1.2158054711246202E-2</v>
      </c>
      <c r="H73">
        <f t="shared" si="7"/>
        <v>3.1931464174454804E-2</v>
      </c>
      <c r="I73">
        <f t="shared" si="8"/>
        <v>0</v>
      </c>
      <c r="J73">
        <f t="shared" si="9"/>
        <v>-8.1743869209809361E-3</v>
      </c>
      <c r="K73">
        <f t="shared" si="10"/>
        <v>1.572327044025168E-2</v>
      </c>
    </row>
    <row r="74" spans="1:11" x14ac:dyDescent="0.35">
      <c r="A74" s="1">
        <v>42198</v>
      </c>
      <c r="B74">
        <v>1635</v>
      </c>
      <c r="C74">
        <v>26400</v>
      </c>
      <c r="D74">
        <v>1270</v>
      </c>
      <c r="E74">
        <v>36400</v>
      </c>
      <c r="F74">
        <v>1620</v>
      </c>
      <c r="G74">
        <f t="shared" si="6"/>
        <v>6.1538461538461764E-3</v>
      </c>
      <c r="H74">
        <f t="shared" si="7"/>
        <v>-3.7735849056603765E-3</v>
      </c>
      <c r="I74">
        <f t="shared" si="8"/>
        <v>3.2520325203251987E-2</v>
      </c>
      <c r="J74">
        <f t="shared" si="9"/>
        <v>0</v>
      </c>
      <c r="K74">
        <f t="shared" si="10"/>
        <v>3.0959752321981782E-3</v>
      </c>
    </row>
    <row r="75" spans="1:11" x14ac:dyDescent="0.35">
      <c r="A75" s="1">
        <v>42199</v>
      </c>
      <c r="B75">
        <v>1655</v>
      </c>
      <c r="C75">
        <v>26500</v>
      </c>
      <c r="D75">
        <v>1275</v>
      </c>
      <c r="E75">
        <v>36700</v>
      </c>
      <c r="F75">
        <v>1640</v>
      </c>
      <c r="G75">
        <f t="shared" si="6"/>
        <v>1.2232415902140747E-2</v>
      </c>
      <c r="H75">
        <f t="shared" si="7"/>
        <v>3.7878787878788955E-3</v>
      </c>
      <c r="I75">
        <f t="shared" si="8"/>
        <v>3.937007874015741E-3</v>
      </c>
      <c r="J75">
        <f t="shared" si="9"/>
        <v>8.2417582417582125E-3</v>
      </c>
      <c r="K75">
        <f t="shared" si="10"/>
        <v>1.2345679012345734E-2</v>
      </c>
    </row>
    <row r="76" spans="1:11" x14ac:dyDescent="0.35">
      <c r="A76" s="1">
        <v>42200</v>
      </c>
      <c r="B76">
        <v>1635</v>
      </c>
      <c r="C76">
        <v>26300</v>
      </c>
      <c r="D76">
        <v>1275</v>
      </c>
      <c r="E76">
        <v>37000</v>
      </c>
      <c r="F76">
        <v>1655</v>
      </c>
      <c r="G76">
        <f t="shared" si="6"/>
        <v>-1.2084592145015116E-2</v>
      </c>
      <c r="H76">
        <f t="shared" si="7"/>
        <v>-7.547169811320753E-3</v>
      </c>
      <c r="I76">
        <f t="shared" si="8"/>
        <v>0</v>
      </c>
      <c r="J76">
        <f t="shared" si="9"/>
        <v>8.1743869209809361E-3</v>
      </c>
      <c r="K76">
        <f t="shared" si="10"/>
        <v>9.1463414634145312E-3</v>
      </c>
    </row>
    <row r="77" spans="1:11" x14ac:dyDescent="0.35">
      <c r="A77" s="1">
        <v>42201</v>
      </c>
      <c r="B77">
        <v>1630</v>
      </c>
      <c r="C77">
        <v>26380</v>
      </c>
      <c r="D77">
        <v>1275</v>
      </c>
      <c r="E77">
        <v>36940</v>
      </c>
      <c r="F77">
        <v>1670</v>
      </c>
      <c r="G77">
        <f t="shared" si="6"/>
        <v>-3.0581039755351869E-3</v>
      </c>
      <c r="H77">
        <f t="shared" si="7"/>
        <v>3.0418250950570158E-3</v>
      </c>
      <c r="I77">
        <f t="shared" si="8"/>
        <v>0</v>
      </c>
      <c r="J77">
        <f t="shared" si="9"/>
        <v>-1.6216216216216051E-3</v>
      </c>
      <c r="K77">
        <f t="shared" si="10"/>
        <v>9.0634441087613649E-3</v>
      </c>
    </row>
    <row r="78" spans="1:11" x14ac:dyDescent="0.35">
      <c r="A78" s="1">
        <v>42202</v>
      </c>
      <c r="B78">
        <v>1610</v>
      </c>
      <c r="C78">
        <v>26120</v>
      </c>
      <c r="D78">
        <v>1250</v>
      </c>
      <c r="E78">
        <v>36000</v>
      </c>
      <c r="F78">
        <v>1645</v>
      </c>
      <c r="G78">
        <f t="shared" si="6"/>
        <v>-1.2269938650306789E-2</v>
      </c>
      <c r="H78">
        <f t="shared" si="7"/>
        <v>-9.8559514783926883E-3</v>
      </c>
      <c r="I78">
        <f t="shared" si="8"/>
        <v>-1.9607843137254943E-2</v>
      </c>
      <c r="J78">
        <f t="shared" si="9"/>
        <v>-2.5446670276123462E-2</v>
      </c>
      <c r="K78">
        <f t="shared" si="10"/>
        <v>-1.4970059880239472E-2</v>
      </c>
    </row>
    <row r="79" spans="1:11" x14ac:dyDescent="0.35">
      <c r="A79" s="1">
        <v>42205</v>
      </c>
      <c r="B79">
        <v>1610</v>
      </c>
      <c r="C79">
        <v>26120</v>
      </c>
      <c r="D79">
        <v>1250</v>
      </c>
      <c r="E79">
        <v>36000</v>
      </c>
      <c r="F79">
        <v>1645</v>
      </c>
      <c r="G79">
        <f t="shared" si="6"/>
        <v>0</v>
      </c>
      <c r="H79">
        <f t="shared" si="7"/>
        <v>0</v>
      </c>
      <c r="I79">
        <f t="shared" si="8"/>
        <v>0</v>
      </c>
      <c r="J79">
        <f t="shared" si="9"/>
        <v>0</v>
      </c>
      <c r="K79">
        <f t="shared" si="10"/>
        <v>0</v>
      </c>
    </row>
    <row r="80" spans="1:11" x14ac:dyDescent="0.35">
      <c r="A80" s="1">
        <v>42206</v>
      </c>
      <c r="B80">
        <v>1635</v>
      </c>
      <c r="C80">
        <v>25500</v>
      </c>
      <c r="D80">
        <v>1240</v>
      </c>
      <c r="E80">
        <v>36040</v>
      </c>
      <c r="F80">
        <v>1670</v>
      </c>
      <c r="G80">
        <f t="shared" si="6"/>
        <v>1.552795031055898E-2</v>
      </c>
      <c r="H80">
        <f t="shared" si="7"/>
        <v>-2.3736600306278666E-2</v>
      </c>
      <c r="I80">
        <f t="shared" si="8"/>
        <v>-8.0000000000000071E-3</v>
      </c>
      <c r="J80">
        <f t="shared" si="9"/>
        <v>1.1111111111110628E-3</v>
      </c>
      <c r="K80">
        <f t="shared" si="10"/>
        <v>1.5197568389057725E-2</v>
      </c>
    </row>
    <row r="81" spans="1:11" x14ac:dyDescent="0.35">
      <c r="A81" s="1">
        <v>42207</v>
      </c>
      <c r="B81">
        <v>1610</v>
      </c>
      <c r="C81">
        <v>25420</v>
      </c>
      <c r="D81">
        <v>1235</v>
      </c>
      <c r="E81">
        <v>36500</v>
      </c>
      <c r="F81">
        <v>1660</v>
      </c>
      <c r="G81">
        <f t="shared" si="6"/>
        <v>-1.5290519877675823E-2</v>
      </c>
      <c r="H81">
        <f t="shared" si="7"/>
        <v>-3.1372549019608176E-3</v>
      </c>
      <c r="I81">
        <f t="shared" si="8"/>
        <v>-4.0322580645161255E-3</v>
      </c>
      <c r="J81">
        <f t="shared" si="9"/>
        <v>1.2763596004439437E-2</v>
      </c>
      <c r="K81">
        <f t="shared" si="10"/>
        <v>-5.9880239520958556E-3</v>
      </c>
    </row>
    <row r="82" spans="1:11" x14ac:dyDescent="0.35">
      <c r="A82" s="1">
        <v>42208</v>
      </c>
      <c r="B82">
        <v>1625</v>
      </c>
      <c r="C82">
        <v>25780</v>
      </c>
      <c r="D82">
        <v>1235</v>
      </c>
      <c r="E82">
        <v>36220</v>
      </c>
      <c r="F82">
        <v>1650</v>
      </c>
      <c r="G82">
        <f t="shared" si="6"/>
        <v>9.3167701863354768E-3</v>
      </c>
      <c r="H82">
        <f t="shared" si="7"/>
        <v>1.4162077104642012E-2</v>
      </c>
      <c r="I82">
        <f t="shared" si="8"/>
        <v>0</v>
      </c>
      <c r="J82">
        <f t="shared" si="9"/>
        <v>-7.6712328767123417E-3</v>
      </c>
      <c r="K82">
        <f t="shared" si="10"/>
        <v>-6.0240963855421326E-3</v>
      </c>
    </row>
    <row r="83" spans="1:11" x14ac:dyDescent="0.35">
      <c r="A83" s="1">
        <v>42209</v>
      </c>
      <c r="B83">
        <v>1585</v>
      </c>
      <c r="C83">
        <v>25780</v>
      </c>
      <c r="D83">
        <v>1235</v>
      </c>
      <c r="E83">
        <v>36220</v>
      </c>
      <c r="F83">
        <v>1660</v>
      </c>
      <c r="G83">
        <f t="shared" si="6"/>
        <v>-2.4615384615384595E-2</v>
      </c>
      <c r="H83">
        <f t="shared" si="7"/>
        <v>0</v>
      </c>
      <c r="I83">
        <f t="shared" si="8"/>
        <v>0</v>
      </c>
      <c r="J83">
        <f t="shared" si="9"/>
        <v>0</v>
      </c>
      <c r="K83">
        <f t="shared" si="10"/>
        <v>6.0606060606060996E-3</v>
      </c>
    </row>
    <row r="84" spans="1:11" x14ac:dyDescent="0.35">
      <c r="A84" s="1">
        <v>42212</v>
      </c>
      <c r="B84">
        <v>1545</v>
      </c>
      <c r="C84">
        <v>25820</v>
      </c>
      <c r="D84">
        <v>1225</v>
      </c>
      <c r="E84">
        <v>36220</v>
      </c>
      <c r="F84">
        <v>1660</v>
      </c>
      <c r="G84">
        <f t="shared" si="6"/>
        <v>-2.5236593059936863E-2</v>
      </c>
      <c r="H84">
        <f t="shared" si="7"/>
        <v>1.5515903801397446E-3</v>
      </c>
      <c r="I84">
        <f t="shared" si="8"/>
        <v>-8.0971659919027994E-3</v>
      </c>
      <c r="J84">
        <f t="shared" si="9"/>
        <v>0</v>
      </c>
      <c r="K84">
        <f t="shared" si="10"/>
        <v>0</v>
      </c>
    </row>
    <row r="85" spans="1:11" x14ac:dyDescent="0.35">
      <c r="A85" s="1">
        <v>42213</v>
      </c>
      <c r="B85">
        <v>1560</v>
      </c>
      <c r="C85">
        <v>26300</v>
      </c>
      <c r="D85">
        <v>1200</v>
      </c>
      <c r="E85">
        <v>36200</v>
      </c>
      <c r="F85">
        <v>1660</v>
      </c>
      <c r="G85">
        <f t="shared" si="6"/>
        <v>9.7087378640776656E-3</v>
      </c>
      <c r="H85">
        <f t="shared" si="7"/>
        <v>1.8590240123934842E-2</v>
      </c>
      <c r="I85">
        <f t="shared" si="8"/>
        <v>-2.0408163265306145E-2</v>
      </c>
      <c r="J85">
        <f t="shared" si="9"/>
        <v>-5.5218111540589199E-4</v>
      </c>
      <c r="K85">
        <f t="shared" si="10"/>
        <v>0</v>
      </c>
    </row>
    <row r="86" spans="1:11" x14ac:dyDescent="0.35">
      <c r="A86" s="1">
        <v>42214</v>
      </c>
      <c r="B86">
        <v>1640</v>
      </c>
      <c r="C86">
        <v>26400</v>
      </c>
      <c r="D86">
        <v>1265</v>
      </c>
      <c r="E86">
        <v>37180</v>
      </c>
      <c r="F86">
        <v>1660</v>
      </c>
      <c r="G86">
        <f t="shared" si="6"/>
        <v>5.1282051282051322E-2</v>
      </c>
      <c r="H86">
        <f t="shared" si="7"/>
        <v>3.8022813688212143E-3</v>
      </c>
      <c r="I86">
        <f t="shared" si="8"/>
        <v>5.4166666666666696E-2</v>
      </c>
      <c r="J86">
        <f t="shared" si="9"/>
        <v>2.7071823204419809E-2</v>
      </c>
      <c r="K86">
        <f t="shared" si="10"/>
        <v>0</v>
      </c>
    </row>
    <row r="87" spans="1:11" x14ac:dyDescent="0.35">
      <c r="A87" s="1">
        <v>42215</v>
      </c>
      <c r="B87">
        <v>1645</v>
      </c>
      <c r="C87">
        <v>26480</v>
      </c>
      <c r="D87">
        <v>1225</v>
      </c>
      <c r="E87">
        <v>37000</v>
      </c>
      <c r="F87">
        <v>1655</v>
      </c>
      <c r="G87">
        <f t="shared" si="6"/>
        <v>3.0487804878047697E-3</v>
      </c>
      <c r="H87">
        <f t="shared" si="7"/>
        <v>3.0303030303029388E-3</v>
      </c>
      <c r="I87">
        <f t="shared" si="8"/>
        <v>-3.1620553359683834E-2</v>
      </c>
      <c r="J87">
        <f t="shared" si="9"/>
        <v>-4.8413125336201901E-3</v>
      </c>
      <c r="K87">
        <f t="shared" si="10"/>
        <v>-3.0120481927711218E-3</v>
      </c>
    </row>
    <row r="88" spans="1:11" x14ac:dyDescent="0.35">
      <c r="A88" s="1">
        <v>42216</v>
      </c>
      <c r="B88">
        <v>1610</v>
      </c>
      <c r="C88">
        <v>26020</v>
      </c>
      <c r="D88">
        <v>1225</v>
      </c>
      <c r="E88">
        <v>37000</v>
      </c>
      <c r="F88">
        <v>1670</v>
      </c>
      <c r="G88">
        <f t="shared" si="6"/>
        <v>-2.1276595744680882E-2</v>
      </c>
      <c r="H88">
        <f t="shared" si="7"/>
        <v>-1.7371601208459264E-2</v>
      </c>
      <c r="I88">
        <f t="shared" si="8"/>
        <v>0</v>
      </c>
      <c r="J88">
        <f t="shared" si="9"/>
        <v>0</v>
      </c>
      <c r="K88">
        <f t="shared" si="10"/>
        <v>9.0634441087613649E-3</v>
      </c>
    </row>
    <row r="89" spans="1:11" x14ac:dyDescent="0.35">
      <c r="A89" s="1">
        <v>42219</v>
      </c>
      <c r="B89">
        <v>1565</v>
      </c>
      <c r="C89">
        <v>26260</v>
      </c>
      <c r="D89">
        <v>1225</v>
      </c>
      <c r="E89">
        <v>36860</v>
      </c>
      <c r="F89">
        <v>1670</v>
      </c>
      <c r="G89">
        <f t="shared" si="6"/>
        <v>-2.7950310559006208E-2</v>
      </c>
      <c r="H89">
        <f t="shared" si="7"/>
        <v>9.2236740968485442E-3</v>
      </c>
      <c r="I89">
        <f t="shared" si="8"/>
        <v>0</v>
      </c>
      <c r="J89">
        <f t="shared" si="9"/>
        <v>-3.7837837837837451E-3</v>
      </c>
      <c r="K89">
        <f t="shared" si="10"/>
        <v>0</v>
      </c>
    </row>
    <row r="90" spans="1:11" x14ac:dyDescent="0.35">
      <c r="A90" s="1">
        <v>42220</v>
      </c>
      <c r="B90">
        <v>1580</v>
      </c>
      <c r="C90">
        <v>26260</v>
      </c>
      <c r="D90">
        <v>1225</v>
      </c>
      <c r="E90">
        <v>36860</v>
      </c>
      <c r="F90">
        <v>1660</v>
      </c>
      <c r="G90">
        <f t="shared" si="6"/>
        <v>9.5846645367412275E-3</v>
      </c>
      <c r="H90">
        <f t="shared" si="7"/>
        <v>0</v>
      </c>
      <c r="I90">
        <f t="shared" si="8"/>
        <v>0</v>
      </c>
      <c r="J90">
        <f t="shared" si="9"/>
        <v>0</v>
      </c>
      <c r="K90">
        <f t="shared" si="10"/>
        <v>-5.9880239520958556E-3</v>
      </c>
    </row>
    <row r="91" spans="1:11" x14ac:dyDescent="0.35">
      <c r="A91" s="1">
        <v>42221</v>
      </c>
      <c r="B91">
        <v>1530</v>
      </c>
      <c r="C91">
        <v>26600</v>
      </c>
      <c r="D91">
        <v>1220</v>
      </c>
      <c r="E91">
        <v>36340</v>
      </c>
      <c r="F91">
        <v>1655</v>
      </c>
      <c r="G91">
        <f t="shared" si="6"/>
        <v>-3.1645569620253111E-2</v>
      </c>
      <c r="H91">
        <f t="shared" si="7"/>
        <v>1.2947448591013044E-2</v>
      </c>
      <c r="I91">
        <f t="shared" si="8"/>
        <v>-4.0816326530612734E-3</v>
      </c>
      <c r="J91">
        <f t="shared" si="9"/>
        <v>-1.4107433532284275E-2</v>
      </c>
      <c r="K91">
        <f t="shared" si="10"/>
        <v>-3.0120481927711218E-3</v>
      </c>
    </row>
    <row r="92" spans="1:11" x14ac:dyDescent="0.35">
      <c r="A92" s="1">
        <v>42222</v>
      </c>
      <c r="B92">
        <v>1565</v>
      </c>
      <c r="C92">
        <v>26680</v>
      </c>
      <c r="D92">
        <v>1210</v>
      </c>
      <c r="E92">
        <v>36600</v>
      </c>
      <c r="F92">
        <v>1660</v>
      </c>
      <c r="G92">
        <f t="shared" si="6"/>
        <v>2.2875816993463971E-2</v>
      </c>
      <c r="H92">
        <f t="shared" si="7"/>
        <v>3.0075187969924588E-3</v>
      </c>
      <c r="I92">
        <f t="shared" si="8"/>
        <v>-8.1967213114754189E-3</v>
      </c>
      <c r="J92">
        <f t="shared" si="9"/>
        <v>7.1546505228399226E-3</v>
      </c>
      <c r="K92">
        <f t="shared" si="10"/>
        <v>3.0211480362538623E-3</v>
      </c>
    </row>
    <row r="93" spans="1:11" x14ac:dyDescent="0.35">
      <c r="A93" s="1">
        <v>42223</v>
      </c>
      <c r="B93">
        <v>1565</v>
      </c>
      <c r="C93">
        <v>26680</v>
      </c>
      <c r="D93">
        <v>1210</v>
      </c>
      <c r="E93">
        <v>36600</v>
      </c>
      <c r="F93">
        <v>1660</v>
      </c>
      <c r="G93">
        <f t="shared" si="6"/>
        <v>0</v>
      </c>
      <c r="H93">
        <f t="shared" si="7"/>
        <v>0</v>
      </c>
      <c r="I93">
        <f t="shared" si="8"/>
        <v>0</v>
      </c>
      <c r="J93">
        <f t="shared" si="9"/>
        <v>0</v>
      </c>
      <c r="K93">
        <f t="shared" si="10"/>
        <v>0</v>
      </c>
    </row>
    <row r="94" spans="1:11" x14ac:dyDescent="0.35">
      <c r="A94" s="1">
        <v>42226</v>
      </c>
      <c r="B94">
        <v>1540</v>
      </c>
      <c r="C94">
        <v>26480</v>
      </c>
      <c r="D94">
        <v>1220</v>
      </c>
      <c r="E94">
        <v>36540</v>
      </c>
      <c r="F94">
        <v>1660</v>
      </c>
      <c r="G94">
        <f t="shared" si="6"/>
        <v>-1.5974440894568676E-2</v>
      </c>
      <c r="H94">
        <f t="shared" si="7"/>
        <v>-7.496251874062998E-3</v>
      </c>
      <c r="I94">
        <f t="shared" si="8"/>
        <v>8.2644628099173278E-3</v>
      </c>
      <c r="J94">
        <f t="shared" si="9"/>
        <v>-1.6393442622950616E-3</v>
      </c>
      <c r="K94">
        <f t="shared" si="10"/>
        <v>0</v>
      </c>
    </row>
    <row r="95" spans="1:11" x14ac:dyDescent="0.35">
      <c r="A95" s="1">
        <v>42227</v>
      </c>
      <c r="B95">
        <v>1500</v>
      </c>
      <c r="C95">
        <v>26200</v>
      </c>
      <c r="D95">
        <v>1200</v>
      </c>
      <c r="E95">
        <v>36400</v>
      </c>
      <c r="F95">
        <v>1660</v>
      </c>
      <c r="G95">
        <f t="shared" si="6"/>
        <v>-2.5974025974025983E-2</v>
      </c>
      <c r="H95">
        <f t="shared" si="7"/>
        <v>-1.0574018126888185E-2</v>
      </c>
      <c r="I95">
        <f t="shared" si="8"/>
        <v>-1.6393442622950838E-2</v>
      </c>
      <c r="J95">
        <f t="shared" si="9"/>
        <v>-3.8314176245211051E-3</v>
      </c>
      <c r="K95">
        <f t="shared" si="10"/>
        <v>0</v>
      </c>
    </row>
    <row r="96" spans="1:11" x14ac:dyDescent="0.35">
      <c r="A96" s="1">
        <v>42228</v>
      </c>
      <c r="B96">
        <v>1530</v>
      </c>
      <c r="C96">
        <v>26060</v>
      </c>
      <c r="D96">
        <v>1195</v>
      </c>
      <c r="E96">
        <v>36460</v>
      </c>
      <c r="F96">
        <v>1660</v>
      </c>
      <c r="G96">
        <f t="shared" si="6"/>
        <v>2.0000000000000018E-2</v>
      </c>
      <c r="H96">
        <f t="shared" si="7"/>
        <v>-5.3435114503816994E-3</v>
      </c>
      <c r="I96">
        <f t="shared" si="8"/>
        <v>-4.1666666666666519E-3</v>
      </c>
      <c r="J96">
        <f t="shared" si="9"/>
        <v>1.6483516483516425E-3</v>
      </c>
      <c r="K96">
        <f t="shared" si="10"/>
        <v>0</v>
      </c>
    </row>
    <row r="97" spans="1:11" x14ac:dyDescent="0.35">
      <c r="A97" s="1">
        <v>42229</v>
      </c>
      <c r="B97">
        <v>1530</v>
      </c>
      <c r="C97">
        <v>25740</v>
      </c>
      <c r="D97">
        <v>1195</v>
      </c>
      <c r="E97">
        <v>36780</v>
      </c>
      <c r="F97">
        <v>1685</v>
      </c>
      <c r="G97">
        <f t="shared" si="6"/>
        <v>0</v>
      </c>
      <c r="H97">
        <f t="shared" si="7"/>
        <v>-1.2279355333844943E-2</v>
      </c>
      <c r="I97">
        <f t="shared" si="8"/>
        <v>0</v>
      </c>
      <c r="J97">
        <f t="shared" si="9"/>
        <v>8.7767416346682392E-3</v>
      </c>
      <c r="K97">
        <f t="shared" si="10"/>
        <v>1.5060240963855387E-2</v>
      </c>
    </row>
    <row r="98" spans="1:11" x14ac:dyDescent="0.35">
      <c r="A98" s="1">
        <v>42230</v>
      </c>
      <c r="B98">
        <v>1510</v>
      </c>
      <c r="C98">
        <v>25500</v>
      </c>
      <c r="D98">
        <v>1175</v>
      </c>
      <c r="E98">
        <v>36600</v>
      </c>
      <c r="F98">
        <v>1685</v>
      </c>
      <c r="G98">
        <f t="shared" si="6"/>
        <v>-1.3071895424836555E-2</v>
      </c>
      <c r="H98">
        <f t="shared" si="7"/>
        <v>-9.3240093240093413E-3</v>
      </c>
      <c r="I98">
        <f t="shared" si="8"/>
        <v>-1.6736401673640211E-2</v>
      </c>
      <c r="J98">
        <f t="shared" si="9"/>
        <v>-4.8939641109299048E-3</v>
      </c>
      <c r="K98">
        <f t="shared" si="10"/>
        <v>0</v>
      </c>
    </row>
    <row r="99" spans="1:11" x14ac:dyDescent="0.35">
      <c r="A99" s="1">
        <v>42233</v>
      </c>
      <c r="B99">
        <v>1510</v>
      </c>
      <c r="C99">
        <v>25500</v>
      </c>
      <c r="D99">
        <v>1175</v>
      </c>
      <c r="E99">
        <v>36600</v>
      </c>
      <c r="F99">
        <v>1685</v>
      </c>
      <c r="G99">
        <f t="shared" si="6"/>
        <v>0</v>
      </c>
      <c r="H99">
        <f t="shared" si="7"/>
        <v>0</v>
      </c>
      <c r="I99">
        <f t="shared" si="8"/>
        <v>0</v>
      </c>
      <c r="J99">
        <f t="shared" si="9"/>
        <v>0</v>
      </c>
      <c r="K99">
        <f t="shared" si="10"/>
        <v>0</v>
      </c>
    </row>
    <row r="100" spans="1:11" x14ac:dyDescent="0.35">
      <c r="A100" s="1">
        <v>42234</v>
      </c>
      <c r="B100">
        <v>1515</v>
      </c>
      <c r="C100">
        <v>24700</v>
      </c>
      <c r="D100">
        <v>1180</v>
      </c>
      <c r="E100">
        <v>36600</v>
      </c>
      <c r="F100">
        <v>1690</v>
      </c>
      <c r="G100">
        <f t="shared" si="6"/>
        <v>3.3112582781456013E-3</v>
      </c>
      <c r="H100">
        <f t="shared" si="7"/>
        <v>-3.1372549019607843E-2</v>
      </c>
      <c r="I100">
        <f t="shared" si="8"/>
        <v>4.2553191489360653E-3</v>
      </c>
      <c r="J100">
        <f t="shared" si="9"/>
        <v>0</v>
      </c>
      <c r="K100">
        <f t="shared" si="10"/>
        <v>2.9673590504450953E-3</v>
      </c>
    </row>
    <row r="101" spans="1:11" x14ac:dyDescent="0.35">
      <c r="A101" s="1">
        <v>42235</v>
      </c>
      <c r="B101">
        <v>1450</v>
      </c>
      <c r="C101">
        <v>23900</v>
      </c>
      <c r="D101">
        <v>1150</v>
      </c>
      <c r="E101">
        <v>36000</v>
      </c>
      <c r="F101">
        <v>1685</v>
      </c>
      <c r="G101">
        <f t="shared" si="6"/>
        <v>-4.2904290429042868E-2</v>
      </c>
      <c r="H101">
        <f t="shared" si="7"/>
        <v>-3.2388663967611309E-2</v>
      </c>
      <c r="I101">
        <f t="shared" si="8"/>
        <v>-2.5423728813559365E-2</v>
      </c>
      <c r="J101">
        <f t="shared" si="9"/>
        <v>-1.6393442622950838E-2</v>
      </c>
      <c r="K101">
        <f t="shared" si="10"/>
        <v>-2.9585798816568198E-3</v>
      </c>
    </row>
    <row r="102" spans="1:11" x14ac:dyDescent="0.35">
      <c r="A102" s="1">
        <v>42236</v>
      </c>
      <c r="B102">
        <v>1465</v>
      </c>
      <c r="C102">
        <v>24000</v>
      </c>
      <c r="D102">
        <v>1150</v>
      </c>
      <c r="E102">
        <v>35500</v>
      </c>
      <c r="F102">
        <v>1675</v>
      </c>
      <c r="G102">
        <f t="shared" si="6"/>
        <v>1.0344827586206806E-2</v>
      </c>
      <c r="H102">
        <f t="shared" si="7"/>
        <v>4.1841004184099972E-3</v>
      </c>
      <c r="I102">
        <f t="shared" si="8"/>
        <v>0</v>
      </c>
      <c r="J102">
        <f t="shared" si="9"/>
        <v>-1.388888888888884E-2</v>
      </c>
      <c r="K102">
        <f t="shared" si="10"/>
        <v>-5.9347181008901906E-3</v>
      </c>
    </row>
    <row r="103" spans="1:11" x14ac:dyDescent="0.35">
      <c r="A103" s="1">
        <v>42237</v>
      </c>
      <c r="B103">
        <v>1460</v>
      </c>
      <c r="C103">
        <v>23040</v>
      </c>
      <c r="D103">
        <v>1125</v>
      </c>
      <c r="E103">
        <v>34060</v>
      </c>
      <c r="F103">
        <v>1680</v>
      </c>
      <c r="G103">
        <f t="shared" si="6"/>
        <v>-3.4129692832765013E-3</v>
      </c>
      <c r="H103">
        <f t="shared" si="7"/>
        <v>-4.0000000000000036E-2</v>
      </c>
      <c r="I103">
        <f t="shared" si="8"/>
        <v>-2.1739130434782594E-2</v>
      </c>
      <c r="J103">
        <f t="shared" si="9"/>
        <v>-4.0563380281690153E-2</v>
      </c>
      <c r="K103">
        <f t="shared" si="10"/>
        <v>2.9850746268655914E-3</v>
      </c>
    </row>
    <row r="104" spans="1:11" x14ac:dyDescent="0.35">
      <c r="A104" s="1">
        <v>42240</v>
      </c>
      <c r="B104">
        <v>1430</v>
      </c>
      <c r="C104">
        <v>22960</v>
      </c>
      <c r="D104">
        <v>1125</v>
      </c>
      <c r="E104">
        <v>32400</v>
      </c>
      <c r="F104">
        <v>1670</v>
      </c>
      <c r="G104">
        <f t="shared" si="6"/>
        <v>-2.0547945205479423E-2</v>
      </c>
      <c r="H104">
        <f t="shared" si="7"/>
        <v>-3.4722222222222099E-3</v>
      </c>
      <c r="I104">
        <f t="shared" si="8"/>
        <v>0</v>
      </c>
      <c r="J104">
        <f t="shared" si="9"/>
        <v>-4.873752201996473E-2</v>
      </c>
      <c r="K104">
        <f t="shared" si="10"/>
        <v>-5.9523809523809312E-3</v>
      </c>
    </row>
    <row r="105" spans="1:11" x14ac:dyDescent="0.35">
      <c r="A105" s="1">
        <v>42241</v>
      </c>
      <c r="B105">
        <v>1425</v>
      </c>
      <c r="C105">
        <v>23120</v>
      </c>
      <c r="D105">
        <v>1065</v>
      </c>
      <c r="E105">
        <v>32240</v>
      </c>
      <c r="F105">
        <v>1675</v>
      </c>
      <c r="G105">
        <f t="shared" si="6"/>
        <v>-3.4965034965035446E-3</v>
      </c>
      <c r="H105">
        <f t="shared" si="7"/>
        <v>6.9686411149825211E-3</v>
      </c>
      <c r="I105">
        <f t="shared" si="8"/>
        <v>-5.3333333333333344E-2</v>
      </c>
      <c r="J105">
        <f t="shared" si="9"/>
        <v>-4.9382716049383157E-3</v>
      </c>
      <c r="K105">
        <f t="shared" si="10"/>
        <v>2.9940119760478723E-3</v>
      </c>
    </row>
    <row r="106" spans="1:11" x14ac:dyDescent="0.35">
      <c r="A106" s="1">
        <v>42242</v>
      </c>
      <c r="B106">
        <v>1425</v>
      </c>
      <c r="C106">
        <v>23680</v>
      </c>
      <c r="D106">
        <v>1035</v>
      </c>
      <c r="E106">
        <v>32240</v>
      </c>
      <c r="F106">
        <v>1680</v>
      </c>
      <c r="G106">
        <f t="shared" si="6"/>
        <v>0</v>
      </c>
      <c r="H106">
        <f t="shared" si="7"/>
        <v>2.4221453287197159E-2</v>
      </c>
      <c r="I106">
        <f t="shared" si="8"/>
        <v>-2.8169014084507005E-2</v>
      </c>
      <c r="J106">
        <f t="shared" si="9"/>
        <v>0</v>
      </c>
      <c r="K106">
        <f t="shared" si="10"/>
        <v>2.9850746268655914E-3</v>
      </c>
    </row>
    <row r="107" spans="1:11" x14ac:dyDescent="0.35">
      <c r="A107" s="1">
        <v>42243</v>
      </c>
      <c r="B107">
        <v>1510</v>
      </c>
      <c r="C107">
        <v>24500</v>
      </c>
      <c r="D107">
        <v>1110</v>
      </c>
      <c r="E107">
        <v>33360</v>
      </c>
      <c r="F107">
        <v>1700</v>
      </c>
      <c r="G107">
        <f t="shared" si="6"/>
        <v>5.9649122807017507E-2</v>
      </c>
      <c r="H107">
        <f t="shared" si="7"/>
        <v>3.4628378378378288E-2</v>
      </c>
      <c r="I107">
        <f t="shared" si="8"/>
        <v>7.2463768115942129E-2</v>
      </c>
      <c r="J107">
        <f t="shared" si="9"/>
        <v>3.473945409429291E-2</v>
      </c>
      <c r="K107">
        <f t="shared" si="10"/>
        <v>1.1904761904761862E-2</v>
      </c>
    </row>
    <row r="108" spans="1:11" x14ac:dyDescent="0.35">
      <c r="A108" s="1">
        <v>42244</v>
      </c>
      <c r="B108">
        <v>1545</v>
      </c>
      <c r="C108">
        <v>24440</v>
      </c>
      <c r="D108">
        <v>1130</v>
      </c>
      <c r="E108">
        <v>34300</v>
      </c>
      <c r="F108">
        <v>1700</v>
      </c>
      <c r="G108">
        <f t="shared" si="6"/>
        <v>2.3178807947019875E-2</v>
      </c>
      <c r="H108">
        <f t="shared" si="7"/>
        <v>-2.4489795918367641E-3</v>
      </c>
      <c r="I108">
        <f t="shared" si="8"/>
        <v>1.8018018018018056E-2</v>
      </c>
      <c r="J108">
        <f t="shared" si="9"/>
        <v>2.8177458033573188E-2</v>
      </c>
      <c r="K108">
        <f t="shared" si="10"/>
        <v>0</v>
      </c>
    </row>
    <row r="109" spans="1:11" x14ac:dyDescent="0.35">
      <c r="A109" s="1">
        <v>42247</v>
      </c>
      <c r="B109">
        <v>1595</v>
      </c>
      <c r="C109">
        <v>24960</v>
      </c>
      <c r="D109">
        <v>1115</v>
      </c>
      <c r="E109">
        <v>35300</v>
      </c>
      <c r="F109">
        <v>1690</v>
      </c>
      <c r="G109">
        <f t="shared" si="6"/>
        <v>3.2362459546925626E-2</v>
      </c>
      <c r="H109">
        <f t="shared" si="7"/>
        <v>2.1276595744680771E-2</v>
      </c>
      <c r="I109">
        <f t="shared" si="8"/>
        <v>-1.3274336283185861E-2</v>
      </c>
      <c r="J109">
        <f t="shared" si="9"/>
        <v>2.9154518950437414E-2</v>
      </c>
      <c r="K109">
        <f t="shared" si="10"/>
        <v>-5.8823529411764497E-3</v>
      </c>
    </row>
    <row r="110" spans="1:11" x14ac:dyDescent="0.35">
      <c r="A110" s="1">
        <v>42248</v>
      </c>
      <c r="B110">
        <v>1500</v>
      </c>
      <c r="C110">
        <v>24200</v>
      </c>
      <c r="D110">
        <v>1150</v>
      </c>
      <c r="E110">
        <v>34420</v>
      </c>
      <c r="F110">
        <v>1690</v>
      </c>
      <c r="G110">
        <f t="shared" si="6"/>
        <v>-5.9561128526645746E-2</v>
      </c>
      <c r="H110">
        <f t="shared" si="7"/>
        <v>-3.0448717948717952E-2</v>
      </c>
      <c r="I110">
        <f t="shared" si="8"/>
        <v>3.1390134529148073E-2</v>
      </c>
      <c r="J110">
        <f t="shared" si="9"/>
        <v>-2.4929178470254998E-2</v>
      </c>
      <c r="K110">
        <f t="shared" si="10"/>
        <v>0</v>
      </c>
    </row>
    <row r="111" spans="1:11" x14ac:dyDescent="0.35">
      <c r="A111" s="1">
        <v>42249</v>
      </c>
      <c r="B111">
        <v>1520</v>
      </c>
      <c r="C111">
        <v>24980</v>
      </c>
      <c r="D111">
        <v>1150</v>
      </c>
      <c r="E111">
        <v>33240</v>
      </c>
      <c r="F111">
        <v>1685</v>
      </c>
      <c r="G111">
        <f t="shared" si="6"/>
        <v>1.3333333333333419E-2</v>
      </c>
      <c r="H111">
        <f t="shared" si="7"/>
        <v>3.2231404958677601E-2</v>
      </c>
      <c r="I111">
        <f t="shared" si="8"/>
        <v>0</v>
      </c>
      <c r="J111">
        <f t="shared" si="9"/>
        <v>-3.4282393957001722E-2</v>
      </c>
      <c r="K111">
        <f t="shared" si="10"/>
        <v>-2.9585798816568198E-3</v>
      </c>
    </row>
    <row r="112" spans="1:11" x14ac:dyDescent="0.35">
      <c r="A112" s="1">
        <v>42250</v>
      </c>
      <c r="B112">
        <v>1515</v>
      </c>
      <c r="C112">
        <v>25160</v>
      </c>
      <c r="D112">
        <v>1160</v>
      </c>
      <c r="E112">
        <v>33800</v>
      </c>
      <c r="F112">
        <v>1700</v>
      </c>
      <c r="G112">
        <f t="shared" si="6"/>
        <v>-3.2894736842105088E-3</v>
      </c>
      <c r="H112">
        <f t="shared" si="7"/>
        <v>7.2057646116894247E-3</v>
      </c>
      <c r="I112">
        <f t="shared" si="8"/>
        <v>8.6956521739129933E-3</v>
      </c>
      <c r="J112">
        <f t="shared" si="9"/>
        <v>1.6847172081829065E-2</v>
      </c>
      <c r="K112">
        <f t="shared" si="10"/>
        <v>8.9020771513352859E-3</v>
      </c>
    </row>
    <row r="113" spans="1:11" x14ac:dyDescent="0.35">
      <c r="A113" s="1">
        <v>42251</v>
      </c>
      <c r="B113">
        <v>1500</v>
      </c>
      <c r="C113">
        <v>24480</v>
      </c>
      <c r="D113">
        <v>1160</v>
      </c>
      <c r="E113">
        <v>33500</v>
      </c>
      <c r="F113">
        <v>1700</v>
      </c>
      <c r="G113">
        <f t="shared" si="6"/>
        <v>-9.9009900990099098E-3</v>
      </c>
      <c r="H113">
        <f t="shared" si="7"/>
        <v>-2.7027027027026973E-2</v>
      </c>
      <c r="I113">
        <f t="shared" si="8"/>
        <v>0</v>
      </c>
      <c r="J113">
        <f t="shared" si="9"/>
        <v>-8.8757396449704595E-3</v>
      </c>
      <c r="K113">
        <f t="shared" si="10"/>
        <v>0</v>
      </c>
    </row>
    <row r="114" spans="1:11" x14ac:dyDescent="0.35">
      <c r="A114" s="1">
        <v>42254</v>
      </c>
      <c r="B114">
        <v>1475</v>
      </c>
      <c r="C114">
        <v>24560</v>
      </c>
      <c r="D114">
        <v>1160</v>
      </c>
      <c r="E114">
        <v>33900</v>
      </c>
      <c r="F114">
        <v>1700</v>
      </c>
      <c r="G114">
        <f t="shared" si="6"/>
        <v>-1.6666666666666718E-2</v>
      </c>
      <c r="H114">
        <f t="shared" si="7"/>
        <v>3.2679738562091387E-3</v>
      </c>
      <c r="I114">
        <f t="shared" si="8"/>
        <v>0</v>
      </c>
      <c r="J114">
        <f t="shared" si="9"/>
        <v>1.1940298507462588E-2</v>
      </c>
      <c r="K114">
        <f t="shared" si="10"/>
        <v>0</v>
      </c>
    </row>
    <row r="115" spans="1:11" x14ac:dyDescent="0.35">
      <c r="A115" s="1">
        <v>42255</v>
      </c>
      <c r="B115">
        <v>1465</v>
      </c>
      <c r="C115">
        <v>25000</v>
      </c>
      <c r="D115">
        <v>1175</v>
      </c>
      <c r="E115">
        <v>34280</v>
      </c>
      <c r="F115">
        <v>1705</v>
      </c>
      <c r="G115">
        <f t="shared" si="6"/>
        <v>-6.7796610169491567E-3</v>
      </c>
      <c r="H115">
        <f t="shared" si="7"/>
        <v>1.791530944625408E-2</v>
      </c>
      <c r="I115">
        <f t="shared" si="8"/>
        <v>1.2931034482758674E-2</v>
      </c>
      <c r="J115">
        <f t="shared" si="9"/>
        <v>1.1209439528023557E-2</v>
      </c>
      <c r="K115">
        <f t="shared" si="10"/>
        <v>2.9411764705882248E-3</v>
      </c>
    </row>
    <row r="116" spans="1:11" x14ac:dyDescent="0.35">
      <c r="A116" s="1">
        <v>42256</v>
      </c>
      <c r="B116">
        <v>1435</v>
      </c>
      <c r="C116">
        <v>24520</v>
      </c>
      <c r="D116">
        <v>1160</v>
      </c>
      <c r="E116">
        <v>33840</v>
      </c>
      <c r="F116">
        <v>1715</v>
      </c>
      <c r="G116">
        <f t="shared" si="6"/>
        <v>-2.0477815699658675E-2</v>
      </c>
      <c r="H116">
        <f t="shared" si="7"/>
        <v>-1.9199999999999995E-2</v>
      </c>
      <c r="I116">
        <f t="shared" si="8"/>
        <v>-1.2765957446808529E-2</v>
      </c>
      <c r="J116">
        <f t="shared" si="9"/>
        <v>-1.2835472578763163E-2</v>
      </c>
      <c r="K116">
        <f t="shared" si="10"/>
        <v>5.8651026392961825E-3</v>
      </c>
    </row>
    <row r="117" spans="1:11" x14ac:dyDescent="0.35">
      <c r="A117" s="1">
        <v>42257</v>
      </c>
      <c r="B117">
        <v>1450</v>
      </c>
      <c r="C117">
        <v>24460</v>
      </c>
      <c r="D117">
        <v>1200</v>
      </c>
      <c r="E117">
        <v>34880</v>
      </c>
      <c r="F117">
        <v>1730</v>
      </c>
      <c r="G117">
        <f t="shared" si="6"/>
        <v>1.0452961672473782E-2</v>
      </c>
      <c r="H117">
        <f t="shared" si="7"/>
        <v>-2.4469820554648969E-3</v>
      </c>
      <c r="I117">
        <f t="shared" si="8"/>
        <v>3.4482758620689724E-2</v>
      </c>
      <c r="J117">
        <f t="shared" si="9"/>
        <v>3.0732860520094496E-2</v>
      </c>
      <c r="K117">
        <f t="shared" si="10"/>
        <v>8.7463556851312685E-3</v>
      </c>
    </row>
    <row r="118" spans="1:11" x14ac:dyDescent="0.35">
      <c r="A118" s="1">
        <v>42258</v>
      </c>
      <c r="B118">
        <v>1405</v>
      </c>
      <c r="C118">
        <v>24340</v>
      </c>
      <c r="D118">
        <v>1205</v>
      </c>
      <c r="E118">
        <v>34600</v>
      </c>
      <c r="F118">
        <v>1725</v>
      </c>
      <c r="G118">
        <f t="shared" si="6"/>
        <v>-3.1034482758620641E-2</v>
      </c>
      <c r="H118">
        <f t="shared" si="7"/>
        <v>-4.9059689288634134E-3</v>
      </c>
      <c r="I118">
        <f t="shared" si="8"/>
        <v>4.1666666666666519E-3</v>
      </c>
      <c r="J118">
        <f t="shared" si="9"/>
        <v>-8.0275229357797961E-3</v>
      </c>
      <c r="K118">
        <f t="shared" si="10"/>
        <v>-2.8901734104046506E-3</v>
      </c>
    </row>
    <row r="119" spans="1:11" x14ac:dyDescent="0.35">
      <c r="A119" s="1">
        <v>42261</v>
      </c>
      <c r="B119">
        <v>1410</v>
      </c>
      <c r="C119">
        <v>24460</v>
      </c>
      <c r="D119">
        <v>1200</v>
      </c>
      <c r="E119">
        <v>35300</v>
      </c>
      <c r="F119">
        <v>1705</v>
      </c>
      <c r="G119">
        <f t="shared" si="6"/>
        <v>3.558718861210064E-3</v>
      </c>
      <c r="H119">
        <f t="shared" si="7"/>
        <v>4.9301561216104073E-3</v>
      </c>
      <c r="I119">
        <f t="shared" si="8"/>
        <v>-4.1493775933609811E-3</v>
      </c>
      <c r="J119">
        <f t="shared" si="9"/>
        <v>2.0231213872832443E-2</v>
      </c>
      <c r="K119">
        <f t="shared" si="10"/>
        <v>-1.1594202898550732E-2</v>
      </c>
    </row>
    <row r="120" spans="1:11" x14ac:dyDescent="0.35">
      <c r="A120" s="1">
        <v>42262</v>
      </c>
      <c r="B120">
        <v>1395</v>
      </c>
      <c r="C120">
        <v>24540</v>
      </c>
      <c r="D120">
        <v>1220</v>
      </c>
      <c r="E120">
        <v>35680</v>
      </c>
      <c r="F120">
        <v>1760</v>
      </c>
      <c r="G120">
        <f t="shared" si="6"/>
        <v>-1.0638297872340385E-2</v>
      </c>
      <c r="H120">
        <f t="shared" si="7"/>
        <v>3.2706459525755349E-3</v>
      </c>
      <c r="I120">
        <f t="shared" si="8"/>
        <v>1.6666666666666607E-2</v>
      </c>
      <c r="J120">
        <f t="shared" si="9"/>
        <v>1.076487252124636E-2</v>
      </c>
      <c r="K120">
        <f t="shared" si="10"/>
        <v>3.2258064516129004E-2</v>
      </c>
    </row>
    <row r="121" spans="1:11" x14ac:dyDescent="0.35">
      <c r="A121" s="1">
        <v>42263</v>
      </c>
      <c r="B121">
        <v>1425</v>
      </c>
      <c r="C121">
        <v>25180</v>
      </c>
      <c r="D121">
        <v>1200</v>
      </c>
      <c r="E121">
        <v>35800</v>
      </c>
      <c r="F121">
        <v>1745</v>
      </c>
      <c r="G121">
        <f t="shared" si="6"/>
        <v>2.1505376344086002E-2</v>
      </c>
      <c r="H121">
        <f t="shared" si="7"/>
        <v>2.6079869600651895E-2</v>
      </c>
      <c r="I121">
        <f t="shared" si="8"/>
        <v>-1.6393442622950838E-2</v>
      </c>
      <c r="J121">
        <f t="shared" si="9"/>
        <v>3.3632286995515237E-3</v>
      </c>
      <c r="K121">
        <f t="shared" si="10"/>
        <v>-8.5227272727272929E-3</v>
      </c>
    </row>
    <row r="122" spans="1:11" x14ac:dyDescent="0.35">
      <c r="A122" s="1">
        <v>42264</v>
      </c>
      <c r="B122">
        <v>1440</v>
      </c>
      <c r="C122">
        <v>24880</v>
      </c>
      <c r="D122">
        <v>1195</v>
      </c>
      <c r="E122">
        <v>35980</v>
      </c>
      <c r="F122">
        <v>1750</v>
      </c>
      <c r="G122">
        <f t="shared" si="6"/>
        <v>1.0526315789473717E-2</v>
      </c>
      <c r="H122">
        <f t="shared" si="7"/>
        <v>-1.1914217633042123E-2</v>
      </c>
      <c r="I122">
        <f t="shared" si="8"/>
        <v>-4.1666666666666519E-3</v>
      </c>
      <c r="J122">
        <f t="shared" si="9"/>
        <v>5.0279329608937662E-3</v>
      </c>
      <c r="K122">
        <f t="shared" si="10"/>
        <v>2.8653295128939771E-3</v>
      </c>
    </row>
    <row r="123" spans="1:11" x14ac:dyDescent="0.35">
      <c r="A123" s="1">
        <v>42265</v>
      </c>
      <c r="B123">
        <v>1425</v>
      </c>
      <c r="C123">
        <v>24320</v>
      </c>
      <c r="D123">
        <v>1155</v>
      </c>
      <c r="E123">
        <v>35920</v>
      </c>
      <c r="F123">
        <v>1755</v>
      </c>
      <c r="G123">
        <f t="shared" si="6"/>
        <v>-1.041666666666663E-2</v>
      </c>
      <c r="H123">
        <f t="shared" si="7"/>
        <v>-2.2508038585209E-2</v>
      </c>
      <c r="I123">
        <f t="shared" si="8"/>
        <v>-3.3472803347280311E-2</v>
      </c>
      <c r="J123">
        <f t="shared" si="9"/>
        <v>-1.6675931072818173E-3</v>
      </c>
      <c r="K123">
        <f t="shared" si="10"/>
        <v>2.8571428571428914E-3</v>
      </c>
    </row>
    <row r="124" spans="1:11" x14ac:dyDescent="0.35">
      <c r="A124" s="1">
        <v>42268</v>
      </c>
      <c r="B124">
        <v>1415</v>
      </c>
      <c r="C124">
        <v>24100</v>
      </c>
      <c r="D124">
        <v>1160</v>
      </c>
      <c r="E124">
        <v>35000</v>
      </c>
      <c r="F124">
        <v>1735</v>
      </c>
      <c r="G124">
        <f t="shared" si="6"/>
        <v>-7.0175438596491446E-3</v>
      </c>
      <c r="H124">
        <f t="shared" si="7"/>
        <v>-9.0460526315789824E-3</v>
      </c>
      <c r="I124">
        <f t="shared" si="8"/>
        <v>4.3290043290042934E-3</v>
      </c>
      <c r="J124">
        <f t="shared" si="9"/>
        <v>-2.5612472160356337E-2</v>
      </c>
      <c r="K124">
        <f t="shared" si="10"/>
        <v>-1.139601139601143E-2</v>
      </c>
    </row>
    <row r="125" spans="1:11" x14ac:dyDescent="0.35">
      <c r="A125" s="1">
        <v>42269</v>
      </c>
      <c r="B125">
        <v>1395</v>
      </c>
      <c r="C125">
        <v>23400</v>
      </c>
      <c r="D125">
        <v>1130</v>
      </c>
      <c r="E125">
        <v>34880</v>
      </c>
      <c r="F125">
        <v>1725</v>
      </c>
      <c r="G125">
        <f t="shared" si="6"/>
        <v>-1.4134275618374548E-2</v>
      </c>
      <c r="H125">
        <f t="shared" si="7"/>
        <v>-2.9045643153526979E-2</v>
      </c>
      <c r="I125">
        <f t="shared" si="8"/>
        <v>-2.5862068965517238E-2</v>
      </c>
      <c r="J125">
        <f t="shared" si="9"/>
        <v>-3.4285714285714475E-3</v>
      </c>
      <c r="K125">
        <f t="shared" si="10"/>
        <v>-5.7636887608069065E-3</v>
      </c>
    </row>
    <row r="126" spans="1:11" x14ac:dyDescent="0.35">
      <c r="A126" s="1">
        <v>42270</v>
      </c>
      <c r="B126">
        <v>1355</v>
      </c>
      <c r="C126">
        <v>23000</v>
      </c>
      <c r="D126">
        <v>1135</v>
      </c>
      <c r="E126">
        <v>35300</v>
      </c>
      <c r="F126">
        <v>1740</v>
      </c>
      <c r="G126">
        <f t="shared" si="6"/>
        <v>-2.8673835125448077E-2</v>
      </c>
      <c r="H126">
        <f t="shared" si="7"/>
        <v>-1.7094017094017144E-2</v>
      </c>
      <c r="I126">
        <f t="shared" si="8"/>
        <v>4.4247787610618428E-3</v>
      </c>
      <c r="J126">
        <f t="shared" si="9"/>
        <v>1.2041284403669694E-2</v>
      </c>
      <c r="K126">
        <f t="shared" si="10"/>
        <v>8.6956521739129933E-3</v>
      </c>
    </row>
    <row r="127" spans="1:11" x14ac:dyDescent="0.35">
      <c r="A127" s="1">
        <v>42271</v>
      </c>
      <c r="B127">
        <v>1365</v>
      </c>
      <c r="C127">
        <v>23700</v>
      </c>
      <c r="D127">
        <v>1140</v>
      </c>
      <c r="E127">
        <v>35220</v>
      </c>
      <c r="F127">
        <v>1760</v>
      </c>
      <c r="G127">
        <f t="shared" si="6"/>
        <v>7.3800738007379074E-3</v>
      </c>
      <c r="H127">
        <f t="shared" si="7"/>
        <v>3.0434782608695699E-2</v>
      </c>
      <c r="I127">
        <f t="shared" si="8"/>
        <v>4.405286343612369E-3</v>
      </c>
      <c r="J127">
        <f t="shared" si="9"/>
        <v>-2.2662889518413332E-3</v>
      </c>
      <c r="K127">
        <f t="shared" si="10"/>
        <v>1.1494252873563315E-2</v>
      </c>
    </row>
    <row r="128" spans="1:11" x14ac:dyDescent="0.35">
      <c r="A128" s="1">
        <v>42272</v>
      </c>
      <c r="B128">
        <v>1350</v>
      </c>
      <c r="C128">
        <v>23140</v>
      </c>
      <c r="D128">
        <v>1165</v>
      </c>
      <c r="E128">
        <v>35340</v>
      </c>
      <c r="F128">
        <v>1790</v>
      </c>
      <c r="G128">
        <f t="shared" si="6"/>
        <v>-1.098901098901095E-2</v>
      </c>
      <c r="H128">
        <f t="shared" si="7"/>
        <v>-2.3628691983122341E-2</v>
      </c>
      <c r="I128">
        <f t="shared" si="8"/>
        <v>2.1929824561403466E-2</v>
      </c>
      <c r="J128">
        <f t="shared" si="9"/>
        <v>3.4071550255536653E-3</v>
      </c>
      <c r="K128">
        <f t="shared" si="10"/>
        <v>1.7045454545454586E-2</v>
      </c>
    </row>
    <row r="129" spans="1:11" x14ac:dyDescent="0.35">
      <c r="A129" s="1">
        <v>42275</v>
      </c>
      <c r="B129">
        <v>1285</v>
      </c>
      <c r="C129">
        <v>23300</v>
      </c>
      <c r="D129">
        <v>1140</v>
      </c>
      <c r="E129">
        <v>35100</v>
      </c>
      <c r="F129">
        <v>1790</v>
      </c>
      <c r="G129">
        <f t="shared" si="6"/>
        <v>-4.8148148148148162E-2</v>
      </c>
      <c r="H129">
        <f t="shared" si="7"/>
        <v>6.9144338807261008E-3</v>
      </c>
      <c r="I129">
        <f t="shared" si="8"/>
        <v>-2.1459227467811148E-2</v>
      </c>
      <c r="J129">
        <f t="shared" si="9"/>
        <v>-6.7911714770797493E-3</v>
      </c>
      <c r="K129">
        <f t="shared" si="10"/>
        <v>0</v>
      </c>
    </row>
    <row r="130" spans="1:11" x14ac:dyDescent="0.35">
      <c r="A130" s="1">
        <v>42276</v>
      </c>
      <c r="B130">
        <v>1305</v>
      </c>
      <c r="C130">
        <v>23620</v>
      </c>
      <c r="D130">
        <v>1180</v>
      </c>
      <c r="E130">
        <v>35260</v>
      </c>
      <c r="F130">
        <v>1770</v>
      </c>
      <c r="G130">
        <f t="shared" si="6"/>
        <v>1.5564202334630295E-2</v>
      </c>
      <c r="H130">
        <f t="shared" si="7"/>
        <v>1.3733905579399242E-2</v>
      </c>
      <c r="I130">
        <f t="shared" si="8"/>
        <v>3.5087719298245723E-2</v>
      </c>
      <c r="J130">
        <f t="shared" si="9"/>
        <v>4.5584045584046162E-3</v>
      </c>
      <c r="K130">
        <f t="shared" si="10"/>
        <v>-1.1173184357541888E-2</v>
      </c>
    </row>
    <row r="131" spans="1:11" x14ac:dyDescent="0.35">
      <c r="A131" s="1">
        <v>42277</v>
      </c>
      <c r="B131">
        <v>1330</v>
      </c>
      <c r="C131">
        <v>23720</v>
      </c>
      <c r="D131">
        <v>1180</v>
      </c>
      <c r="E131">
        <v>35880</v>
      </c>
      <c r="F131">
        <v>1740</v>
      </c>
      <c r="G131">
        <f t="shared" si="6"/>
        <v>1.9157088122605304E-2</v>
      </c>
      <c r="H131">
        <f t="shared" si="7"/>
        <v>4.2337002540220325E-3</v>
      </c>
      <c r="I131">
        <f t="shared" si="8"/>
        <v>0</v>
      </c>
      <c r="J131">
        <f t="shared" si="9"/>
        <v>1.7583664208735028E-2</v>
      </c>
      <c r="K131">
        <f t="shared" si="10"/>
        <v>-1.6949152542372836E-2</v>
      </c>
    </row>
    <row r="132" spans="1:11" x14ac:dyDescent="0.35">
      <c r="A132" s="1">
        <v>42278</v>
      </c>
      <c r="B132">
        <v>1320</v>
      </c>
      <c r="C132">
        <v>23500</v>
      </c>
      <c r="D132">
        <v>1160</v>
      </c>
      <c r="E132">
        <v>35600</v>
      </c>
      <c r="F132">
        <v>1750</v>
      </c>
      <c r="G132">
        <f t="shared" ref="G132:G195" si="11">B132/B131-1</f>
        <v>-7.5187969924812581E-3</v>
      </c>
      <c r="H132">
        <f t="shared" ref="H132:H195" si="12">C132/C131-1</f>
        <v>-9.2748735244518876E-3</v>
      </c>
      <c r="I132">
        <f t="shared" ref="I132:I195" si="13">D132/D131-1</f>
        <v>-1.6949152542372836E-2</v>
      </c>
      <c r="J132">
        <f t="shared" ref="J132:J195" si="14">E132/E131-1</f>
        <v>-7.8037904124860225E-3</v>
      </c>
      <c r="K132">
        <f t="shared" ref="K132:K195" si="15">F132/F131-1</f>
        <v>5.7471264367816577E-3</v>
      </c>
    </row>
    <row r="133" spans="1:11" x14ac:dyDescent="0.35">
      <c r="A133" s="1">
        <v>42279</v>
      </c>
      <c r="B133">
        <v>1340</v>
      </c>
      <c r="C133">
        <v>23740</v>
      </c>
      <c r="D133">
        <v>1140</v>
      </c>
      <c r="E133">
        <v>36560</v>
      </c>
      <c r="F133">
        <v>1760</v>
      </c>
      <c r="G133">
        <f t="shared" si="11"/>
        <v>1.5151515151515138E-2</v>
      </c>
      <c r="H133">
        <f t="shared" si="12"/>
        <v>1.0212765957446912E-2</v>
      </c>
      <c r="I133">
        <f t="shared" si="13"/>
        <v>-1.7241379310344862E-2</v>
      </c>
      <c r="J133">
        <f t="shared" si="14"/>
        <v>2.6966292134831482E-2</v>
      </c>
      <c r="K133">
        <f t="shared" si="15"/>
        <v>5.7142857142857828E-3</v>
      </c>
    </row>
    <row r="134" spans="1:11" x14ac:dyDescent="0.35">
      <c r="A134" s="1">
        <v>42282</v>
      </c>
      <c r="B134">
        <v>1390</v>
      </c>
      <c r="C134">
        <v>24700</v>
      </c>
      <c r="D134">
        <v>1180</v>
      </c>
      <c r="E134">
        <v>36960</v>
      </c>
      <c r="F134">
        <v>1750</v>
      </c>
      <c r="G134">
        <f t="shared" si="11"/>
        <v>3.7313432835820892E-2</v>
      </c>
      <c r="H134">
        <f t="shared" si="12"/>
        <v>4.043807919123843E-2</v>
      </c>
      <c r="I134">
        <f t="shared" si="13"/>
        <v>3.5087719298245723E-2</v>
      </c>
      <c r="J134">
        <f t="shared" si="14"/>
        <v>1.0940919037199182E-2</v>
      </c>
      <c r="K134">
        <f t="shared" si="15"/>
        <v>-5.6818181818182323E-3</v>
      </c>
    </row>
    <row r="135" spans="1:11" x14ac:dyDescent="0.35">
      <c r="A135" s="1">
        <v>42283</v>
      </c>
      <c r="B135">
        <v>1440</v>
      </c>
      <c r="C135">
        <v>25220</v>
      </c>
      <c r="D135">
        <v>1180</v>
      </c>
      <c r="E135">
        <v>36920</v>
      </c>
      <c r="F135">
        <v>1750</v>
      </c>
      <c r="G135">
        <f t="shared" si="11"/>
        <v>3.5971223021582732E-2</v>
      </c>
      <c r="H135">
        <f t="shared" si="12"/>
        <v>2.1052631578947434E-2</v>
      </c>
      <c r="I135">
        <f t="shared" si="13"/>
        <v>0</v>
      </c>
      <c r="J135">
        <f t="shared" si="14"/>
        <v>-1.0822510822511289E-3</v>
      </c>
      <c r="K135">
        <f t="shared" si="15"/>
        <v>0</v>
      </c>
    </row>
    <row r="136" spans="1:11" x14ac:dyDescent="0.35">
      <c r="A136" s="1">
        <v>42284</v>
      </c>
      <c r="B136">
        <v>1495</v>
      </c>
      <c r="C136">
        <v>25960</v>
      </c>
      <c r="D136">
        <v>1180</v>
      </c>
      <c r="E136">
        <v>37380</v>
      </c>
      <c r="F136">
        <v>1750</v>
      </c>
      <c r="G136">
        <f t="shared" si="11"/>
        <v>3.819444444444442E-2</v>
      </c>
      <c r="H136">
        <f t="shared" si="12"/>
        <v>2.9341792228390062E-2</v>
      </c>
      <c r="I136">
        <f t="shared" si="13"/>
        <v>0</v>
      </c>
      <c r="J136">
        <f t="shared" si="14"/>
        <v>1.2459371614301107E-2</v>
      </c>
      <c r="K136">
        <f t="shared" si="15"/>
        <v>0</v>
      </c>
    </row>
    <row r="137" spans="1:11" x14ac:dyDescent="0.35">
      <c r="A137" s="1">
        <v>42285</v>
      </c>
      <c r="B137">
        <v>1515</v>
      </c>
      <c r="C137">
        <v>26000</v>
      </c>
      <c r="D137">
        <v>1190</v>
      </c>
      <c r="E137">
        <v>37300</v>
      </c>
      <c r="F137">
        <v>1760</v>
      </c>
      <c r="G137">
        <f t="shared" si="11"/>
        <v>1.3377926421404673E-2</v>
      </c>
      <c r="H137">
        <f t="shared" si="12"/>
        <v>1.5408320493066618E-3</v>
      </c>
      <c r="I137">
        <f t="shared" si="13"/>
        <v>8.4745762711864181E-3</v>
      </c>
      <c r="J137">
        <f t="shared" si="14"/>
        <v>-2.1401819154628354E-3</v>
      </c>
      <c r="K137">
        <f t="shared" si="15"/>
        <v>5.7142857142857828E-3</v>
      </c>
    </row>
    <row r="138" spans="1:11" x14ac:dyDescent="0.35">
      <c r="A138" s="1">
        <v>42286</v>
      </c>
      <c r="B138">
        <v>1500</v>
      </c>
      <c r="C138">
        <v>26520</v>
      </c>
      <c r="D138">
        <v>1195</v>
      </c>
      <c r="E138">
        <v>37180</v>
      </c>
      <c r="F138">
        <v>1740</v>
      </c>
      <c r="G138">
        <f t="shared" si="11"/>
        <v>-9.9009900990099098E-3</v>
      </c>
      <c r="H138">
        <f t="shared" si="12"/>
        <v>2.0000000000000018E-2</v>
      </c>
      <c r="I138">
        <f t="shared" si="13"/>
        <v>4.2016806722688926E-3</v>
      </c>
      <c r="J138">
        <f t="shared" si="14"/>
        <v>-3.2171581769436797E-3</v>
      </c>
      <c r="K138">
        <f t="shared" si="15"/>
        <v>-1.1363636363636354E-2</v>
      </c>
    </row>
    <row r="139" spans="1:11" x14ac:dyDescent="0.35">
      <c r="A139" s="1">
        <v>42289</v>
      </c>
      <c r="B139">
        <v>1500</v>
      </c>
      <c r="C139">
        <v>26520</v>
      </c>
      <c r="D139">
        <v>1195</v>
      </c>
      <c r="E139">
        <v>37180</v>
      </c>
      <c r="F139">
        <v>1740</v>
      </c>
      <c r="G139">
        <f t="shared" si="11"/>
        <v>0</v>
      </c>
      <c r="H139">
        <f t="shared" si="12"/>
        <v>0</v>
      </c>
      <c r="I139">
        <f t="shared" si="13"/>
        <v>0</v>
      </c>
      <c r="J139">
        <f t="shared" si="14"/>
        <v>0</v>
      </c>
      <c r="K139">
        <f t="shared" si="15"/>
        <v>0</v>
      </c>
    </row>
    <row r="140" spans="1:11" x14ac:dyDescent="0.35">
      <c r="A140" s="1">
        <v>42290</v>
      </c>
      <c r="B140">
        <v>1495</v>
      </c>
      <c r="C140">
        <v>25200</v>
      </c>
      <c r="D140">
        <v>1165</v>
      </c>
      <c r="E140">
        <v>37400</v>
      </c>
      <c r="F140">
        <v>1750</v>
      </c>
      <c r="G140">
        <f t="shared" si="11"/>
        <v>-3.3333333333332993E-3</v>
      </c>
      <c r="H140">
        <f t="shared" si="12"/>
        <v>-4.9773755656108642E-2</v>
      </c>
      <c r="I140">
        <f t="shared" si="13"/>
        <v>-2.5104602510460206E-2</v>
      </c>
      <c r="J140">
        <f t="shared" si="14"/>
        <v>5.9171597633136397E-3</v>
      </c>
      <c r="K140">
        <f t="shared" si="15"/>
        <v>5.7471264367816577E-3</v>
      </c>
    </row>
    <row r="141" spans="1:11" x14ac:dyDescent="0.35">
      <c r="A141" s="1">
        <v>42291</v>
      </c>
      <c r="B141">
        <v>1480</v>
      </c>
      <c r="C141">
        <v>25700</v>
      </c>
      <c r="D141">
        <v>1205</v>
      </c>
      <c r="E141">
        <v>36840</v>
      </c>
      <c r="F141">
        <v>1730</v>
      </c>
      <c r="G141">
        <f t="shared" si="11"/>
        <v>-1.0033444816053505E-2</v>
      </c>
      <c r="H141">
        <f t="shared" si="12"/>
        <v>1.9841269841269771E-2</v>
      </c>
      <c r="I141">
        <f t="shared" si="13"/>
        <v>3.4334763948497882E-2</v>
      </c>
      <c r="J141">
        <f t="shared" si="14"/>
        <v>-1.4973262032085599E-2</v>
      </c>
      <c r="K141">
        <f t="shared" si="15"/>
        <v>-1.1428571428571455E-2</v>
      </c>
    </row>
    <row r="142" spans="1:11" x14ac:dyDescent="0.35">
      <c r="A142" s="1">
        <v>42292</v>
      </c>
      <c r="B142">
        <v>1470</v>
      </c>
      <c r="C142">
        <v>25340</v>
      </c>
      <c r="D142">
        <v>1190</v>
      </c>
      <c r="E142">
        <v>36020</v>
      </c>
      <c r="F142">
        <v>1725</v>
      </c>
      <c r="G142">
        <f t="shared" si="11"/>
        <v>-6.7567567567567988E-3</v>
      </c>
      <c r="H142">
        <f t="shared" si="12"/>
        <v>-1.4007782101167265E-2</v>
      </c>
      <c r="I142">
        <f t="shared" si="13"/>
        <v>-1.2448132780082943E-2</v>
      </c>
      <c r="J142">
        <f t="shared" si="14"/>
        <v>-2.2258414766558099E-2</v>
      </c>
      <c r="K142">
        <f t="shared" si="15"/>
        <v>-2.8901734104046506E-3</v>
      </c>
    </row>
    <row r="143" spans="1:11" x14ac:dyDescent="0.35">
      <c r="A143" s="1">
        <v>42293</v>
      </c>
      <c r="B143">
        <v>1460</v>
      </c>
      <c r="C143">
        <v>25300</v>
      </c>
      <c r="D143">
        <v>1190</v>
      </c>
      <c r="E143">
        <v>36200</v>
      </c>
      <c r="F143">
        <v>1720</v>
      </c>
      <c r="G143">
        <f t="shared" si="11"/>
        <v>-6.8027210884353817E-3</v>
      </c>
      <c r="H143">
        <f t="shared" si="12"/>
        <v>-1.5785319652722452E-3</v>
      </c>
      <c r="I143">
        <f t="shared" si="13"/>
        <v>0</v>
      </c>
      <c r="J143">
        <f t="shared" si="14"/>
        <v>4.9972237645752315E-3</v>
      </c>
      <c r="K143">
        <f t="shared" si="15"/>
        <v>-2.8985507246376274E-3</v>
      </c>
    </row>
    <row r="144" spans="1:11" x14ac:dyDescent="0.35">
      <c r="A144" s="1">
        <v>42296</v>
      </c>
      <c r="B144">
        <v>1390</v>
      </c>
      <c r="C144">
        <v>25300</v>
      </c>
      <c r="D144">
        <v>1175</v>
      </c>
      <c r="E144">
        <v>36760</v>
      </c>
      <c r="F144">
        <v>1720</v>
      </c>
      <c r="G144">
        <f t="shared" si="11"/>
        <v>-4.7945205479452024E-2</v>
      </c>
      <c r="H144">
        <f t="shared" si="12"/>
        <v>0</v>
      </c>
      <c r="I144">
        <f t="shared" si="13"/>
        <v>-1.2605042016806678E-2</v>
      </c>
      <c r="J144">
        <f t="shared" si="14"/>
        <v>1.5469613259668558E-2</v>
      </c>
      <c r="K144">
        <f t="shared" si="15"/>
        <v>0</v>
      </c>
    </row>
    <row r="145" spans="1:11" x14ac:dyDescent="0.35">
      <c r="A145" s="1">
        <v>42297</v>
      </c>
      <c r="B145">
        <v>1395</v>
      </c>
      <c r="C145">
        <v>25420</v>
      </c>
      <c r="D145">
        <v>1180</v>
      </c>
      <c r="E145">
        <v>36760</v>
      </c>
      <c r="F145">
        <v>1700</v>
      </c>
      <c r="G145">
        <f t="shared" si="11"/>
        <v>3.597122302158251E-3</v>
      </c>
      <c r="H145">
        <f t="shared" si="12"/>
        <v>4.7430830039525418E-3</v>
      </c>
      <c r="I145">
        <f t="shared" si="13"/>
        <v>4.2553191489360653E-3</v>
      </c>
      <c r="J145">
        <f t="shared" si="14"/>
        <v>0</v>
      </c>
      <c r="K145">
        <f t="shared" si="15"/>
        <v>-1.1627906976744207E-2</v>
      </c>
    </row>
    <row r="146" spans="1:11" x14ac:dyDescent="0.35">
      <c r="A146" s="1">
        <v>42298</v>
      </c>
      <c r="B146">
        <v>1375</v>
      </c>
      <c r="C146">
        <v>25360</v>
      </c>
      <c r="D146">
        <v>1200</v>
      </c>
      <c r="E146">
        <v>36840</v>
      </c>
      <c r="F146">
        <v>1700</v>
      </c>
      <c r="G146">
        <f t="shared" si="11"/>
        <v>-1.4336917562724039E-2</v>
      </c>
      <c r="H146">
        <f t="shared" si="12"/>
        <v>-2.3603461841069651E-3</v>
      </c>
      <c r="I146">
        <f t="shared" si="13"/>
        <v>1.6949152542372836E-2</v>
      </c>
      <c r="J146">
        <f t="shared" si="14"/>
        <v>2.1762785636560977E-3</v>
      </c>
      <c r="K146">
        <f t="shared" si="15"/>
        <v>0</v>
      </c>
    </row>
    <row r="147" spans="1:11" x14ac:dyDescent="0.35">
      <c r="A147" s="1">
        <v>42299</v>
      </c>
      <c r="B147">
        <v>1390</v>
      </c>
      <c r="C147">
        <v>25020</v>
      </c>
      <c r="D147">
        <v>1190</v>
      </c>
      <c r="E147">
        <v>37300</v>
      </c>
      <c r="F147">
        <v>1705</v>
      </c>
      <c r="G147">
        <f t="shared" si="11"/>
        <v>1.0909090909090979E-2</v>
      </c>
      <c r="H147">
        <f t="shared" si="12"/>
        <v>-1.340694006309151E-2</v>
      </c>
      <c r="I147">
        <f t="shared" si="13"/>
        <v>-8.3333333333333037E-3</v>
      </c>
      <c r="J147">
        <f t="shared" si="14"/>
        <v>1.2486427795874055E-2</v>
      </c>
      <c r="K147">
        <f t="shared" si="15"/>
        <v>2.9411764705882248E-3</v>
      </c>
    </row>
    <row r="148" spans="1:11" x14ac:dyDescent="0.35">
      <c r="A148" s="1">
        <v>42300</v>
      </c>
      <c r="B148">
        <v>1370</v>
      </c>
      <c r="C148">
        <v>25180</v>
      </c>
      <c r="D148">
        <v>1205</v>
      </c>
      <c r="E148">
        <v>37240</v>
      </c>
      <c r="F148">
        <v>1710</v>
      </c>
      <c r="G148">
        <f t="shared" si="11"/>
        <v>-1.4388489208633115E-2</v>
      </c>
      <c r="H148">
        <f t="shared" si="12"/>
        <v>6.3948840927259276E-3</v>
      </c>
      <c r="I148">
        <f t="shared" si="13"/>
        <v>1.2605042016806678E-2</v>
      </c>
      <c r="J148">
        <f t="shared" si="14"/>
        <v>-1.6085790884718953E-3</v>
      </c>
      <c r="K148">
        <f t="shared" si="15"/>
        <v>2.9325513196480912E-3</v>
      </c>
    </row>
    <row r="149" spans="1:11" x14ac:dyDescent="0.35">
      <c r="A149" s="1">
        <v>42303</v>
      </c>
      <c r="B149">
        <v>1365</v>
      </c>
      <c r="C149">
        <v>25100</v>
      </c>
      <c r="D149">
        <v>1205</v>
      </c>
      <c r="E149">
        <v>37200</v>
      </c>
      <c r="F149">
        <v>1720</v>
      </c>
      <c r="G149">
        <f t="shared" si="11"/>
        <v>-3.6496350364964014E-3</v>
      </c>
      <c r="H149">
        <f t="shared" si="12"/>
        <v>-3.1771247021445959E-3</v>
      </c>
      <c r="I149">
        <f t="shared" si="13"/>
        <v>0</v>
      </c>
      <c r="J149">
        <f t="shared" si="14"/>
        <v>-1.0741138560687036E-3</v>
      </c>
      <c r="K149">
        <f t="shared" si="15"/>
        <v>5.8479532163742132E-3</v>
      </c>
    </row>
    <row r="150" spans="1:11" x14ac:dyDescent="0.35">
      <c r="A150" s="1">
        <v>42304</v>
      </c>
      <c r="B150">
        <v>1345</v>
      </c>
      <c r="C150">
        <v>24700</v>
      </c>
      <c r="D150">
        <v>1205</v>
      </c>
      <c r="E150">
        <v>37160</v>
      </c>
      <c r="F150">
        <v>1720</v>
      </c>
      <c r="G150">
        <f t="shared" si="11"/>
        <v>-1.46520146520146E-2</v>
      </c>
      <c r="H150">
        <f t="shared" si="12"/>
        <v>-1.5936254980079667E-2</v>
      </c>
      <c r="I150">
        <f t="shared" si="13"/>
        <v>0</v>
      </c>
      <c r="J150">
        <f t="shared" si="14"/>
        <v>-1.0752688172043223E-3</v>
      </c>
      <c r="K150">
        <f t="shared" si="15"/>
        <v>0</v>
      </c>
    </row>
    <row r="151" spans="1:11" x14ac:dyDescent="0.35">
      <c r="A151" s="1">
        <v>42305</v>
      </c>
      <c r="B151">
        <v>1365</v>
      </c>
      <c r="C151">
        <v>23940</v>
      </c>
      <c r="D151">
        <v>1210</v>
      </c>
      <c r="E151">
        <v>36760</v>
      </c>
      <c r="F151">
        <v>1735</v>
      </c>
      <c r="G151">
        <f t="shared" si="11"/>
        <v>1.4869888475836479E-2</v>
      </c>
      <c r="H151">
        <f t="shared" si="12"/>
        <v>-3.0769230769230771E-2</v>
      </c>
      <c r="I151">
        <f t="shared" si="13"/>
        <v>4.1493775933609811E-3</v>
      </c>
      <c r="J151">
        <f t="shared" si="14"/>
        <v>-1.076426264800856E-2</v>
      </c>
      <c r="K151">
        <f t="shared" si="15"/>
        <v>8.720930232558155E-3</v>
      </c>
    </row>
    <row r="152" spans="1:11" x14ac:dyDescent="0.35">
      <c r="A152" s="1">
        <v>42306</v>
      </c>
      <c r="B152">
        <v>1345</v>
      </c>
      <c r="C152">
        <v>23680</v>
      </c>
      <c r="D152">
        <v>1180</v>
      </c>
      <c r="E152">
        <v>36460</v>
      </c>
      <c r="F152">
        <v>1745</v>
      </c>
      <c r="G152">
        <f t="shared" si="11"/>
        <v>-1.46520146520146E-2</v>
      </c>
      <c r="H152">
        <f t="shared" si="12"/>
        <v>-1.0860484544695126E-2</v>
      </c>
      <c r="I152">
        <f t="shared" si="13"/>
        <v>-2.4793388429752095E-2</v>
      </c>
      <c r="J152">
        <f t="shared" si="14"/>
        <v>-8.1610446137105885E-3</v>
      </c>
      <c r="K152">
        <f t="shared" si="15"/>
        <v>5.7636887608070175E-3</v>
      </c>
    </row>
    <row r="153" spans="1:11" x14ac:dyDescent="0.35">
      <c r="A153" s="1">
        <v>42307</v>
      </c>
      <c r="B153">
        <v>1350</v>
      </c>
      <c r="C153">
        <v>23540</v>
      </c>
      <c r="D153">
        <v>1150</v>
      </c>
      <c r="E153">
        <v>36780</v>
      </c>
      <c r="F153">
        <v>1870</v>
      </c>
      <c r="G153">
        <f t="shared" si="11"/>
        <v>3.7174721189590088E-3</v>
      </c>
      <c r="H153">
        <f t="shared" si="12"/>
        <v>-5.9121621621621712E-3</v>
      </c>
      <c r="I153">
        <f t="shared" si="13"/>
        <v>-2.5423728813559365E-2</v>
      </c>
      <c r="J153">
        <f t="shared" si="14"/>
        <v>8.7767416346682392E-3</v>
      </c>
      <c r="K153">
        <f t="shared" si="15"/>
        <v>7.1633237822349649E-2</v>
      </c>
    </row>
    <row r="154" spans="1:11" x14ac:dyDescent="0.35">
      <c r="A154" s="1">
        <v>42310</v>
      </c>
      <c r="B154">
        <v>1350</v>
      </c>
      <c r="C154">
        <v>23540</v>
      </c>
      <c r="D154">
        <v>1150</v>
      </c>
      <c r="E154">
        <v>36780</v>
      </c>
      <c r="F154">
        <v>1870</v>
      </c>
      <c r="G154">
        <f t="shared" si="11"/>
        <v>0</v>
      </c>
      <c r="H154">
        <f t="shared" si="12"/>
        <v>0</v>
      </c>
      <c r="I154">
        <f t="shared" si="13"/>
        <v>0</v>
      </c>
      <c r="J154">
        <f t="shared" si="14"/>
        <v>0</v>
      </c>
      <c r="K154">
        <f t="shared" si="15"/>
        <v>0</v>
      </c>
    </row>
    <row r="155" spans="1:11" x14ac:dyDescent="0.35">
      <c r="A155" s="1">
        <v>42311</v>
      </c>
      <c r="B155">
        <v>1415</v>
      </c>
      <c r="C155">
        <v>23000</v>
      </c>
      <c r="D155">
        <v>1165</v>
      </c>
      <c r="E155">
        <v>37140</v>
      </c>
      <c r="F155">
        <v>1795</v>
      </c>
      <c r="G155">
        <f t="shared" si="11"/>
        <v>4.8148148148148051E-2</v>
      </c>
      <c r="H155">
        <f t="shared" si="12"/>
        <v>-2.2939677145284665E-2</v>
      </c>
      <c r="I155">
        <f t="shared" si="13"/>
        <v>1.304347826086949E-2</v>
      </c>
      <c r="J155">
        <f t="shared" si="14"/>
        <v>9.7879282218598096E-3</v>
      </c>
      <c r="K155">
        <f t="shared" si="15"/>
        <v>-4.0106951871657803E-2</v>
      </c>
    </row>
    <row r="156" spans="1:11" x14ac:dyDescent="0.35">
      <c r="A156" s="1">
        <v>42312</v>
      </c>
      <c r="B156">
        <v>1400</v>
      </c>
      <c r="C156">
        <v>23000</v>
      </c>
      <c r="D156">
        <v>1155</v>
      </c>
      <c r="E156">
        <v>36960</v>
      </c>
      <c r="F156">
        <v>1770</v>
      </c>
      <c r="G156">
        <f t="shared" si="11"/>
        <v>-1.0600706713780883E-2</v>
      </c>
      <c r="H156">
        <f t="shared" si="12"/>
        <v>0</v>
      </c>
      <c r="I156">
        <f t="shared" si="13"/>
        <v>-8.5836909871244149E-3</v>
      </c>
      <c r="J156">
        <f t="shared" si="14"/>
        <v>-4.8465266558965769E-3</v>
      </c>
      <c r="K156">
        <f t="shared" si="15"/>
        <v>-1.3927576601671321E-2</v>
      </c>
    </row>
    <row r="157" spans="1:11" x14ac:dyDescent="0.35">
      <c r="A157" s="1">
        <v>42313</v>
      </c>
      <c r="B157">
        <v>1415</v>
      </c>
      <c r="C157">
        <v>23620</v>
      </c>
      <c r="D157">
        <v>1165</v>
      </c>
      <c r="E157">
        <v>36480</v>
      </c>
      <c r="F157">
        <v>1775</v>
      </c>
      <c r="G157">
        <f t="shared" si="11"/>
        <v>1.0714285714285676E-2</v>
      </c>
      <c r="H157">
        <f t="shared" si="12"/>
        <v>2.6956521739130546E-2</v>
      </c>
      <c r="I157">
        <f t="shared" si="13"/>
        <v>8.6580086580085869E-3</v>
      </c>
      <c r="J157">
        <f t="shared" si="14"/>
        <v>-1.2987012987012991E-2</v>
      </c>
      <c r="K157">
        <f t="shared" si="15"/>
        <v>2.8248587570620654E-3</v>
      </c>
    </row>
    <row r="158" spans="1:11" x14ac:dyDescent="0.35">
      <c r="A158" s="1">
        <v>42314</v>
      </c>
      <c r="B158">
        <v>1410</v>
      </c>
      <c r="C158">
        <v>23700</v>
      </c>
      <c r="D158">
        <v>1180</v>
      </c>
      <c r="E158">
        <v>36140</v>
      </c>
      <c r="F158">
        <v>1755</v>
      </c>
      <c r="G158">
        <f t="shared" si="11"/>
        <v>-3.5335689045936647E-3</v>
      </c>
      <c r="H158">
        <f t="shared" si="12"/>
        <v>3.3869602032177148E-3</v>
      </c>
      <c r="I158">
        <f t="shared" si="13"/>
        <v>1.2875536480686733E-2</v>
      </c>
      <c r="J158">
        <f t="shared" si="14"/>
        <v>-9.3201754385965341E-3</v>
      </c>
      <c r="K158">
        <f t="shared" si="15"/>
        <v>-1.1267605633802802E-2</v>
      </c>
    </row>
    <row r="159" spans="1:11" x14ac:dyDescent="0.35">
      <c r="A159" s="1">
        <v>42317</v>
      </c>
      <c r="B159">
        <v>1395</v>
      </c>
      <c r="C159">
        <v>23680</v>
      </c>
      <c r="D159">
        <v>1160</v>
      </c>
      <c r="E159">
        <v>36180</v>
      </c>
      <c r="F159">
        <v>1760</v>
      </c>
      <c r="G159">
        <f t="shared" si="11"/>
        <v>-1.0638297872340385E-2</v>
      </c>
      <c r="H159">
        <f t="shared" si="12"/>
        <v>-8.4388185654005188E-4</v>
      </c>
      <c r="I159">
        <f t="shared" si="13"/>
        <v>-1.6949152542372836E-2</v>
      </c>
      <c r="J159">
        <f t="shared" si="14"/>
        <v>1.1068068622024363E-3</v>
      </c>
      <c r="K159">
        <f t="shared" si="15"/>
        <v>2.8490028490029129E-3</v>
      </c>
    </row>
    <row r="160" spans="1:11" x14ac:dyDescent="0.35">
      <c r="A160" s="1">
        <v>42318</v>
      </c>
      <c r="B160">
        <v>1395</v>
      </c>
      <c r="C160">
        <v>23560</v>
      </c>
      <c r="D160">
        <v>1165</v>
      </c>
      <c r="E160">
        <v>36700</v>
      </c>
      <c r="F160">
        <v>1745</v>
      </c>
      <c r="G160">
        <f t="shared" si="11"/>
        <v>0</v>
      </c>
      <c r="H160">
        <f t="shared" si="12"/>
        <v>-5.0675675675675436E-3</v>
      </c>
      <c r="I160">
        <f t="shared" si="13"/>
        <v>4.3103448275862988E-3</v>
      </c>
      <c r="J160">
        <f t="shared" si="14"/>
        <v>1.4372581536760576E-2</v>
      </c>
      <c r="K160">
        <f t="shared" si="15"/>
        <v>-8.5227272727272929E-3</v>
      </c>
    </row>
    <row r="161" spans="1:11" x14ac:dyDescent="0.35">
      <c r="A161" s="1">
        <v>42319</v>
      </c>
      <c r="B161">
        <v>1360</v>
      </c>
      <c r="C161">
        <v>23300</v>
      </c>
      <c r="D161">
        <v>1160</v>
      </c>
      <c r="E161">
        <v>36460</v>
      </c>
      <c r="F161">
        <v>1745</v>
      </c>
      <c r="G161">
        <f t="shared" si="11"/>
        <v>-2.508960573476704E-2</v>
      </c>
      <c r="H161">
        <f t="shared" si="12"/>
        <v>-1.1035653650254718E-2</v>
      </c>
      <c r="I161">
        <f t="shared" si="13"/>
        <v>-4.2918454935622075E-3</v>
      </c>
      <c r="J161">
        <f t="shared" si="14"/>
        <v>-6.5395095367847267E-3</v>
      </c>
      <c r="K161">
        <f t="shared" si="15"/>
        <v>0</v>
      </c>
    </row>
    <row r="162" spans="1:11" x14ac:dyDescent="0.35">
      <c r="A162" s="1">
        <v>42320</v>
      </c>
      <c r="B162">
        <v>1340</v>
      </c>
      <c r="C162">
        <v>23000</v>
      </c>
      <c r="D162">
        <v>1150</v>
      </c>
      <c r="E162">
        <v>35400</v>
      </c>
      <c r="F162">
        <v>1715</v>
      </c>
      <c r="G162">
        <f t="shared" si="11"/>
        <v>-1.4705882352941124E-2</v>
      </c>
      <c r="H162">
        <f t="shared" si="12"/>
        <v>-1.2875536480686733E-2</v>
      </c>
      <c r="I162">
        <f t="shared" si="13"/>
        <v>-8.6206896551723755E-3</v>
      </c>
      <c r="J162">
        <f t="shared" si="14"/>
        <v>-2.9072956664838223E-2</v>
      </c>
      <c r="K162">
        <f t="shared" si="15"/>
        <v>-1.7191977077363862E-2</v>
      </c>
    </row>
    <row r="163" spans="1:11" x14ac:dyDescent="0.35">
      <c r="A163" s="1">
        <v>42321</v>
      </c>
      <c r="B163">
        <v>1350</v>
      </c>
      <c r="C163">
        <v>22500</v>
      </c>
      <c r="D163">
        <v>1140</v>
      </c>
      <c r="E163">
        <v>34600</v>
      </c>
      <c r="F163">
        <v>1690</v>
      </c>
      <c r="G163">
        <f t="shared" si="11"/>
        <v>7.4626865671640896E-3</v>
      </c>
      <c r="H163">
        <f t="shared" si="12"/>
        <v>-2.1739130434782594E-2</v>
      </c>
      <c r="I163">
        <f t="shared" si="13"/>
        <v>-8.6956521739129933E-3</v>
      </c>
      <c r="J163">
        <f t="shared" si="14"/>
        <v>-2.2598870056497189E-2</v>
      </c>
      <c r="K163">
        <f t="shared" si="15"/>
        <v>-1.4577259475218707E-2</v>
      </c>
    </row>
    <row r="164" spans="1:11" x14ac:dyDescent="0.35">
      <c r="A164" s="1">
        <v>42324</v>
      </c>
      <c r="B164">
        <v>1350</v>
      </c>
      <c r="C164">
        <v>22500</v>
      </c>
      <c r="D164">
        <v>1140</v>
      </c>
      <c r="E164">
        <v>34600</v>
      </c>
      <c r="F164">
        <v>1690</v>
      </c>
      <c r="G164">
        <f t="shared" si="11"/>
        <v>0</v>
      </c>
      <c r="H164">
        <f t="shared" si="12"/>
        <v>0</v>
      </c>
      <c r="I164">
        <f t="shared" si="13"/>
        <v>0</v>
      </c>
      <c r="J164">
        <f t="shared" si="14"/>
        <v>0</v>
      </c>
      <c r="K164">
        <f t="shared" si="15"/>
        <v>0</v>
      </c>
    </row>
    <row r="165" spans="1:11" x14ac:dyDescent="0.35">
      <c r="A165" s="1">
        <v>42325</v>
      </c>
      <c r="B165">
        <v>1325</v>
      </c>
      <c r="C165">
        <v>21380</v>
      </c>
      <c r="D165">
        <v>1120</v>
      </c>
      <c r="E165">
        <v>32500</v>
      </c>
      <c r="F165">
        <v>1800</v>
      </c>
      <c r="G165">
        <f t="shared" si="11"/>
        <v>-1.851851851851849E-2</v>
      </c>
      <c r="H165">
        <f t="shared" si="12"/>
        <v>-4.977777777777781E-2</v>
      </c>
      <c r="I165">
        <f t="shared" si="13"/>
        <v>-1.7543859649122862E-2</v>
      </c>
      <c r="J165">
        <f t="shared" si="14"/>
        <v>-6.0693641618497107E-2</v>
      </c>
      <c r="K165">
        <f t="shared" si="15"/>
        <v>6.5088757396449815E-2</v>
      </c>
    </row>
    <row r="166" spans="1:11" x14ac:dyDescent="0.35">
      <c r="A166" s="1">
        <v>42326</v>
      </c>
      <c r="B166">
        <v>1320</v>
      </c>
      <c r="C166">
        <v>21620</v>
      </c>
      <c r="D166">
        <v>1120</v>
      </c>
      <c r="E166">
        <v>32860</v>
      </c>
      <c r="F166">
        <v>1725</v>
      </c>
      <c r="G166">
        <f t="shared" si="11"/>
        <v>-3.7735849056603765E-3</v>
      </c>
      <c r="H166">
        <f t="shared" si="12"/>
        <v>1.1225444340505097E-2</v>
      </c>
      <c r="I166">
        <f t="shared" si="13"/>
        <v>0</v>
      </c>
      <c r="J166">
        <f t="shared" si="14"/>
        <v>1.1076923076922984E-2</v>
      </c>
      <c r="K166">
        <f t="shared" si="15"/>
        <v>-4.166666666666663E-2</v>
      </c>
    </row>
    <row r="167" spans="1:11" x14ac:dyDescent="0.35">
      <c r="A167" s="1">
        <v>42327</v>
      </c>
      <c r="B167">
        <v>1310</v>
      </c>
      <c r="C167">
        <v>21380</v>
      </c>
      <c r="D167">
        <v>1105</v>
      </c>
      <c r="E167">
        <v>32980</v>
      </c>
      <c r="F167">
        <v>1725</v>
      </c>
      <c r="G167">
        <f t="shared" si="11"/>
        <v>-7.575757575757569E-3</v>
      </c>
      <c r="H167">
        <f t="shared" si="12"/>
        <v>-1.1100832562442209E-2</v>
      </c>
      <c r="I167">
        <f t="shared" si="13"/>
        <v>-1.3392857142857095E-2</v>
      </c>
      <c r="J167">
        <f t="shared" si="14"/>
        <v>3.6518563603165077E-3</v>
      </c>
      <c r="K167">
        <f t="shared" si="15"/>
        <v>0</v>
      </c>
    </row>
    <row r="168" spans="1:11" x14ac:dyDescent="0.35">
      <c r="A168" s="1">
        <v>42328</v>
      </c>
      <c r="B168">
        <v>1295</v>
      </c>
      <c r="C168">
        <v>22160</v>
      </c>
      <c r="D168">
        <v>1105</v>
      </c>
      <c r="E168">
        <v>33520</v>
      </c>
      <c r="F168">
        <v>1745</v>
      </c>
      <c r="G168">
        <f t="shared" si="11"/>
        <v>-1.1450381679389277E-2</v>
      </c>
      <c r="H168">
        <f t="shared" si="12"/>
        <v>3.6482694106641622E-2</v>
      </c>
      <c r="I168">
        <f t="shared" si="13"/>
        <v>0</v>
      </c>
      <c r="J168">
        <f t="shared" si="14"/>
        <v>1.6373559733171561E-2</v>
      </c>
      <c r="K168">
        <f t="shared" si="15"/>
        <v>1.1594202898550732E-2</v>
      </c>
    </row>
    <row r="169" spans="1:11" x14ac:dyDescent="0.35">
      <c r="A169" s="1">
        <v>42331</v>
      </c>
      <c r="B169">
        <v>1330</v>
      </c>
      <c r="C169">
        <v>22100</v>
      </c>
      <c r="D169">
        <v>1100</v>
      </c>
      <c r="E169">
        <v>33300</v>
      </c>
      <c r="F169">
        <v>1745</v>
      </c>
      <c r="G169">
        <f t="shared" si="11"/>
        <v>2.7027027027026973E-2</v>
      </c>
      <c r="H169">
        <f t="shared" si="12"/>
        <v>-2.7075812274368616E-3</v>
      </c>
      <c r="I169">
        <f t="shared" si="13"/>
        <v>-4.5248868778280382E-3</v>
      </c>
      <c r="J169">
        <f t="shared" si="14"/>
        <v>-6.5632458233890745E-3</v>
      </c>
      <c r="K169">
        <f t="shared" si="15"/>
        <v>0</v>
      </c>
    </row>
    <row r="170" spans="1:11" x14ac:dyDescent="0.35">
      <c r="A170" s="1">
        <v>42332</v>
      </c>
      <c r="B170">
        <v>1340</v>
      </c>
      <c r="C170">
        <v>21380</v>
      </c>
      <c r="D170">
        <v>1120</v>
      </c>
      <c r="E170">
        <v>32900</v>
      </c>
      <c r="F170">
        <v>1740</v>
      </c>
      <c r="G170">
        <f t="shared" si="11"/>
        <v>7.5187969924812581E-3</v>
      </c>
      <c r="H170">
        <f t="shared" si="12"/>
        <v>-3.2579185520361986E-2</v>
      </c>
      <c r="I170">
        <f t="shared" si="13"/>
        <v>1.8181818181818077E-2</v>
      </c>
      <c r="J170">
        <f t="shared" si="14"/>
        <v>-1.2012012012011963E-2</v>
      </c>
      <c r="K170">
        <f t="shared" si="15"/>
        <v>-2.8653295128939771E-3</v>
      </c>
    </row>
    <row r="171" spans="1:11" x14ac:dyDescent="0.35">
      <c r="A171" s="1">
        <v>42333</v>
      </c>
      <c r="B171">
        <v>1340</v>
      </c>
      <c r="C171">
        <v>20760</v>
      </c>
      <c r="D171">
        <v>1085</v>
      </c>
      <c r="E171">
        <v>32480</v>
      </c>
      <c r="F171">
        <v>1700</v>
      </c>
      <c r="G171">
        <f t="shared" si="11"/>
        <v>0</v>
      </c>
      <c r="H171">
        <f t="shared" si="12"/>
        <v>-2.8999064546304965E-2</v>
      </c>
      <c r="I171">
        <f t="shared" si="13"/>
        <v>-3.125E-2</v>
      </c>
      <c r="J171">
        <f t="shared" si="14"/>
        <v>-1.2765957446808529E-2</v>
      </c>
      <c r="K171">
        <f t="shared" si="15"/>
        <v>-2.2988505747126409E-2</v>
      </c>
    </row>
    <row r="172" spans="1:11" x14ac:dyDescent="0.35">
      <c r="A172" s="1">
        <v>42334</v>
      </c>
      <c r="B172">
        <v>1325</v>
      </c>
      <c r="C172">
        <v>20840</v>
      </c>
      <c r="D172">
        <v>1080</v>
      </c>
      <c r="E172">
        <v>31920</v>
      </c>
      <c r="F172">
        <v>1700</v>
      </c>
      <c r="G172">
        <f t="shared" si="11"/>
        <v>-1.1194029850746245E-2</v>
      </c>
      <c r="H172">
        <f t="shared" si="12"/>
        <v>3.8535645472062008E-3</v>
      </c>
      <c r="I172">
        <f t="shared" si="13"/>
        <v>-4.6082949308755561E-3</v>
      </c>
      <c r="J172">
        <f t="shared" si="14"/>
        <v>-1.7241379310344862E-2</v>
      </c>
      <c r="K172">
        <f t="shared" si="15"/>
        <v>0</v>
      </c>
    </row>
    <row r="173" spans="1:11" x14ac:dyDescent="0.35">
      <c r="A173" s="1">
        <v>42335</v>
      </c>
      <c r="B173">
        <v>1300</v>
      </c>
      <c r="C173">
        <v>20840</v>
      </c>
      <c r="D173">
        <v>1065</v>
      </c>
      <c r="E173">
        <v>31540</v>
      </c>
      <c r="F173">
        <v>1700</v>
      </c>
      <c r="G173">
        <f t="shared" si="11"/>
        <v>-1.8867924528301883E-2</v>
      </c>
      <c r="H173">
        <f t="shared" si="12"/>
        <v>0</v>
      </c>
      <c r="I173">
        <f t="shared" si="13"/>
        <v>-1.388888888888884E-2</v>
      </c>
      <c r="J173">
        <f t="shared" si="14"/>
        <v>-1.1904761904761862E-2</v>
      </c>
      <c r="K173">
        <f t="shared" si="15"/>
        <v>0</v>
      </c>
    </row>
    <row r="174" spans="1:11" x14ac:dyDescent="0.35">
      <c r="A174" s="1">
        <v>42338</v>
      </c>
      <c r="B174">
        <v>1305</v>
      </c>
      <c r="C174">
        <v>21660</v>
      </c>
      <c r="D174">
        <v>1100</v>
      </c>
      <c r="E174">
        <v>32360</v>
      </c>
      <c r="F174">
        <v>1660</v>
      </c>
      <c r="G174">
        <f t="shared" si="11"/>
        <v>3.8461538461538325E-3</v>
      </c>
      <c r="H174">
        <f t="shared" si="12"/>
        <v>3.9347408829174757E-2</v>
      </c>
      <c r="I174">
        <f t="shared" si="13"/>
        <v>3.2863849765258246E-2</v>
      </c>
      <c r="J174">
        <f t="shared" si="14"/>
        <v>2.5998731769181882E-2</v>
      </c>
      <c r="K174">
        <f t="shared" si="15"/>
        <v>-2.352941176470591E-2</v>
      </c>
    </row>
    <row r="175" spans="1:11" x14ac:dyDescent="0.35">
      <c r="A175" s="1">
        <v>42339</v>
      </c>
      <c r="B175">
        <v>1285</v>
      </c>
      <c r="C175">
        <v>20900</v>
      </c>
      <c r="D175">
        <v>1080</v>
      </c>
      <c r="E175">
        <v>32600</v>
      </c>
      <c r="F175">
        <v>1665</v>
      </c>
      <c r="G175">
        <f t="shared" si="11"/>
        <v>-1.5325670498084309E-2</v>
      </c>
      <c r="H175">
        <f t="shared" si="12"/>
        <v>-3.5087719298245612E-2</v>
      </c>
      <c r="I175">
        <f t="shared" si="13"/>
        <v>-1.8181818181818188E-2</v>
      </c>
      <c r="J175">
        <f t="shared" si="14"/>
        <v>7.4165636588381378E-3</v>
      </c>
      <c r="K175">
        <f t="shared" si="15"/>
        <v>3.0120481927711218E-3</v>
      </c>
    </row>
    <row r="176" spans="1:11" x14ac:dyDescent="0.35">
      <c r="A176" s="1">
        <v>42340</v>
      </c>
      <c r="B176">
        <v>1260</v>
      </c>
      <c r="C176">
        <v>20580</v>
      </c>
      <c r="D176">
        <v>1080</v>
      </c>
      <c r="E176">
        <v>31540</v>
      </c>
      <c r="F176">
        <v>1655</v>
      </c>
      <c r="G176">
        <f t="shared" si="11"/>
        <v>-1.945525291828798E-2</v>
      </c>
      <c r="H176">
        <f t="shared" si="12"/>
        <v>-1.5311004784688942E-2</v>
      </c>
      <c r="I176">
        <f t="shared" si="13"/>
        <v>0</v>
      </c>
      <c r="J176">
        <f t="shared" si="14"/>
        <v>-3.2515337423312918E-2</v>
      </c>
      <c r="K176">
        <f t="shared" si="15"/>
        <v>-6.0060060060059817E-3</v>
      </c>
    </row>
    <row r="177" spans="1:11" x14ac:dyDescent="0.35">
      <c r="A177" s="1">
        <v>42341</v>
      </c>
      <c r="B177">
        <v>1255</v>
      </c>
      <c r="C177">
        <v>20100</v>
      </c>
      <c r="D177">
        <v>1080</v>
      </c>
      <c r="E177">
        <v>30520</v>
      </c>
      <c r="F177">
        <v>1660</v>
      </c>
      <c r="G177">
        <f t="shared" si="11"/>
        <v>-3.9682539682539542E-3</v>
      </c>
      <c r="H177">
        <f t="shared" si="12"/>
        <v>-2.3323615160349864E-2</v>
      </c>
      <c r="I177">
        <f t="shared" si="13"/>
        <v>0</v>
      </c>
      <c r="J177">
        <f t="shared" si="14"/>
        <v>-3.2339885859226425E-2</v>
      </c>
      <c r="K177">
        <f t="shared" si="15"/>
        <v>3.0211480362538623E-3</v>
      </c>
    </row>
    <row r="178" spans="1:11" x14ac:dyDescent="0.35">
      <c r="A178" s="1">
        <v>42342</v>
      </c>
      <c r="B178">
        <v>1205</v>
      </c>
      <c r="C178">
        <v>19920</v>
      </c>
      <c r="D178">
        <v>1100</v>
      </c>
      <c r="E178">
        <v>30400</v>
      </c>
      <c r="F178">
        <v>1650</v>
      </c>
      <c r="G178">
        <f t="shared" si="11"/>
        <v>-3.9840637450199168E-2</v>
      </c>
      <c r="H178">
        <f t="shared" si="12"/>
        <v>-8.9552238805969964E-3</v>
      </c>
      <c r="I178">
        <f t="shared" si="13"/>
        <v>1.8518518518518601E-2</v>
      </c>
      <c r="J178">
        <f t="shared" si="14"/>
        <v>-3.9318479685451768E-3</v>
      </c>
      <c r="K178">
        <f t="shared" si="15"/>
        <v>-6.0240963855421326E-3</v>
      </c>
    </row>
    <row r="179" spans="1:11" x14ac:dyDescent="0.35">
      <c r="A179" s="1">
        <v>42345</v>
      </c>
      <c r="B179">
        <v>1160</v>
      </c>
      <c r="C179">
        <v>19380</v>
      </c>
      <c r="D179">
        <v>1100</v>
      </c>
      <c r="E179">
        <v>29600</v>
      </c>
      <c r="F179">
        <v>1650</v>
      </c>
      <c r="G179">
        <f t="shared" si="11"/>
        <v>-3.7344398340248941E-2</v>
      </c>
      <c r="H179">
        <f t="shared" si="12"/>
        <v>-2.7108433734939763E-2</v>
      </c>
      <c r="I179">
        <f t="shared" si="13"/>
        <v>0</v>
      </c>
      <c r="J179">
        <f t="shared" si="14"/>
        <v>-2.6315789473684181E-2</v>
      </c>
      <c r="K179">
        <f t="shared" si="15"/>
        <v>0</v>
      </c>
    </row>
    <row r="180" spans="1:11" x14ac:dyDescent="0.35">
      <c r="A180" s="1">
        <v>42346</v>
      </c>
      <c r="B180">
        <v>1160</v>
      </c>
      <c r="C180">
        <v>19380</v>
      </c>
      <c r="D180">
        <v>1100</v>
      </c>
      <c r="E180">
        <v>29600</v>
      </c>
      <c r="F180">
        <v>1650</v>
      </c>
      <c r="G180">
        <f t="shared" si="11"/>
        <v>0</v>
      </c>
      <c r="H180">
        <f t="shared" si="12"/>
        <v>0</v>
      </c>
      <c r="I180">
        <f t="shared" si="13"/>
        <v>0</v>
      </c>
      <c r="J180">
        <f t="shared" si="14"/>
        <v>0</v>
      </c>
      <c r="K180">
        <f t="shared" si="15"/>
        <v>0</v>
      </c>
    </row>
    <row r="181" spans="1:11" x14ac:dyDescent="0.35">
      <c r="A181" s="1">
        <v>42347</v>
      </c>
      <c r="B181">
        <v>1160</v>
      </c>
      <c r="C181">
        <v>19060</v>
      </c>
      <c r="D181">
        <v>1035</v>
      </c>
      <c r="E181">
        <v>30160</v>
      </c>
      <c r="F181">
        <v>1660</v>
      </c>
      <c r="G181">
        <f t="shared" si="11"/>
        <v>0</v>
      </c>
      <c r="H181">
        <f t="shared" si="12"/>
        <v>-1.6511867905056765E-2</v>
      </c>
      <c r="I181">
        <f t="shared" si="13"/>
        <v>-5.9090909090909083E-2</v>
      </c>
      <c r="J181">
        <f t="shared" si="14"/>
        <v>1.8918918918918948E-2</v>
      </c>
      <c r="K181">
        <f t="shared" si="15"/>
        <v>6.0606060606060996E-3</v>
      </c>
    </row>
    <row r="182" spans="1:11" x14ac:dyDescent="0.35">
      <c r="A182" s="1">
        <v>42348</v>
      </c>
      <c r="B182">
        <v>1135</v>
      </c>
      <c r="C182">
        <v>19100</v>
      </c>
      <c r="D182">
        <v>1040</v>
      </c>
      <c r="E182">
        <v>31920</v>
      </c>
      <c r="F182">
        <v>1730</v>
      </c>
      <c r="G182">
        <f t="shared" si="11"/>
        <v>-2.155172413793105E-2</v>
      </c>
      <c r="H182">
        <f t="shared" si="12"/>
        <v>2.0986358866736943E-3</v>
      </c>
      <c r="I182">
        <f t="shared" si="13"/>
        <v>4.8309178743961567E-3</v>
      </c>
      <c r="J182">
        <f t="shared" si="14"/>
        <v>5.8355437665782439E-2</v>
      </c>
      <c r="K182">
        <f t="shared" si="15"/>
        <v>4.2168674698795261E-2</v>
      </c>
    </row>
    <row r="183" spans="1:11" x14ac:dyDescent="0.35">
      <c r="A183" s="1">
        <v>42349</v>
      </c>
      <c r="B183">
        <v>1105</v>
      </c>
      <c r="C183">
        <v>19480</v>
      </c>
      <c r="D183">
        <v>1015</v>
      </c>
      <c r="E183">
        <v>31500</v>
      </c>
      <c r="F183">
        <v>1730</v>
      </c>
      <c r="G183">
        <f t="shared" si="11"/>
        <v>-2.6431718061673992E-2</v>
      </c>
      <c r="H183">
        <f t="shared" si="12"/>
        <v>1.9895287958115127E-2</v>
      </c>
      <c r="I183">
        <f t="shared" si="13"/>
        <v>-2.4038461538461564E-2</v>
      </c>
      <c r="J183">
        <f t="shared" si="14"/>
        <v>-1.3157894736842146E-2</v>
      </c>
      <c r="K183">
        <f t="shared" si="15"/>
        <v>0</v>
      </c>
    </row>
    <row r="184" spans="1:11" x14ac:dyDescent="0.35">
      <c r="A184" s="1">
        <v>42352</v>
      </c>
      <c r="B184">
        <v>1090</v>
      </c>
      <c r="C184">
        <v>19480</v>
      </c>
      <c r="D184">
        <v>1015</v>
      </c>
      <c r="E184">
        <v>31500</v>
      </c>
      <c r="F184">
        <v>1695</v>
      </c>
      <c r="G184">
        <f t="shared" si="11"/>
        <v>-1.3574660633484115E-2</v>
      </c>
      <c r="H184">
        <f t="shared" si="12"/>
        <v>0</v>
      </c>
      <c r="I184">
        <f t="shared" si="13"/>
        <v>0</v>
      </c>
      <c r="J184">
        <f t="shared" si="14"/>
        <v>0</v>
      </c>
      <c r="K184">
        <f t="shared" si="15"/>
        <v>-2.0231213872832332E-2</v>
      </c>
    </row>
    <row r="185" spans="1:11" x14ac:dyDescent="0.35">
      <c r="A185" s="1">
        <v>42353</v>
      </c>
      <c r="B185">
        <v>1170</v>
      </c>
      <c r="C185">
        <v>20000</v>
      </c>
      <c r="D185">
        <v>1030</v>
      </c>
      <c r="E185">
        <v>33000</v>
      </c>
      <c r="F185">
        <v>1695</v>
      </c>
      <c r="G185">
        <f t="shared" si="11"/>
        <v>7.3394495412844041E-2</v>
      </c>
      <c r="H185">
        <f t="shared" si="12"/>
        <v>2.6694045174537884E-2</v>
      </c>
      <c r="I185">
        <f t="shared" si="13"/>
        <v>1.4778325123152802E-2</v>
      </c>
      <c r="J185">
        <f t="shared" si="14"/>
        <v>4.7619047619047672E-2</v>
      </c>
      <c r="K185">
        <f t="shared" si="15"/>
        <v>0</v>
      </c>
    </row>
    <row r="186" spans="1:11" x14ac:dyDescent="0.35">
      <c r="A186" s="1">
        <v>42354</v>
      </c>
      <c r="B186">
        <v>1160</v>
      </c>
      <c r="C186">
        <v>21500</v>
      </c>
      <c r="D186">
        <v>1085</v>
      </c>
      <c r="E186">
        <v>33740</v>
      </c>
      <c r="F186">
        <v>1700</v>
      </c>
      <c r="G186">
        <f t="shared" si="11"/>
        <v>-8.5470085470085166E-3</v>
      </c>
      <c r="H186">
        <f t="shared" si="12"/>
        <v>7.4999999999999956E-2</v>
      </c>
      <c r="I186">
        <f t="shared" si="13"/>
        <v>5.3398058252427161E-2</v>
      </c>
      <c r="J186">
        <f t="shared" si="14"/>
        <v>2.2424242424242458E-2</v>
      </c>
      <c r="K186">
        <f t="shared" si="15"/>
        <v>2.9498525073745618E-3</v>
      </c>
    </row>
    <row r="187" spans="1:11" x14ac:dyDescent="0.35">
      <c r="A187" s="1">
        <v>42355</v>
      </c>
      <c r="B187">
        <v>1155</v>
      </c>
      <c r="C187">
        <v>21860</v>
      </c>
      <c r="D187">
        <v>1170</v>
      </c>
      <c r="E187">
        <v>34160</v>
      </c>
      <c r="F187">
        <v>1725</v>
      </c>
      <c r="G187">
        <f t="shared" si="11"/>
        <v>-4.3103448275861878E-3</v>
      </c>
      <c r="H187">
        <f t="shared" si="12"/>
        <v>1.6744186046511622E-2</v>
      </c>
      <c r="I187">
        <f t="shared" si="13"/>
        <v>7.8341013824884786E-2</v>
      </c>
      <c r="J187">
        <f t="shared" si="14"/>
        <v>1.2448132780082943E-2</v>
      </c>
      <c r="K187">
        <f t="shared" si="15"/>
        <v>1.4705882352941124E-2</v>
      </c>
    </row>
    <row r="188" spans="1:11" x14ac:dyDescent="0.35">
      <c r="A188" s="1">
        <v>42356</v>
      </c>
      <c r="B188">
        <v>1230</v>
      </c>
      <c r="C188">
        <v>21440</v>
      </c>
      <c r="D188">
        <v>1170</v>
      </c>
      <c r="E188">
        <v>34400</v>
      </c>
      <c r="F188">
        <v>1700</v>
      </c>
      <c r="G188">
        <f t="shared" si="11"/>
        <v>6.4935064935064846E-2</v>
      </c>
      <c r="H188">
        <f t="shared" si="12"/>
        <v>-1.9213174748398898E-2</v>
      </c>
      <c r="I188">
        <f t="shared" si="13"/>
        <v>0</v>
      </c>
      <c r="J188">
        <f t="shared" si="14"/>
        <v>7.0257611241217877E-3</v>
      </c>
      <c r="K188">
        <f t="shared" si="15"/>
        <v>-1.4492753623188359E-2</v>
      </c>
    </row>
    <row r="189" spans="1:11" x14ac:dyDescent="0.35">
      <c r="A189" s="1">
        <v>42359</v>
      </c>
      <c r="B189">
        <v>1155</v>
      </c>
      <c r="C189">
        <v>21000</v>
      </c>
      <c r="D189">
        <v>1170</v>
      </c>
      <c r="E189">
        <v>34500</v>
      </c>
      <c r="F189">
        <v>1695</v>
      </c>
      <c r="G189">
        <f t="shared" si="11"/>
        <v>-6.0975609756097615E-2</v>
      </c>
      <c r="H189">
        <f t="shared" si="12"/>
        <v>-2.0522388059701524E-2</v>
      </c>
      <c r="I189">
        <f t="shared" si="13"/>
        <v>0</v>
      </c>
      <c r="J189">
        <f t="shared" si="14"/>
        <v>2.9069767441860517E-3</v>
      </c>
      <c r="K189">
        <f t="shared" si="15"/>
        <v>-2.9411764705882248E-3</v>
      </c>
    </row>
    <row r="190" spans="1:11" x14ac:dyDescent="0.35">
      <c r="A190" s="1">
        <v>42360</v>
      </c>
      <c r="B190">
        <v>1165</v>
      </c>
      <c r="C190">
        <v>21000</v>
      </c>
      <c r="D190">
        <v>1070</v>
      </c>
      <c r="E190">
        <v>33860</v>
      </c>
      <c r="F190">
        <v>1690</v>
      </c>
      <c r="G190">
        <f t="shared" si="11"/>
        <v>8.6580086580085869E-3</v>
      </c>
      <c r="H190">
        <f t="shared" si="12"/>
        <v>0</v>
      </c>
      <c r="I190">
        <f t="shared" si="13"/>
        <v>-8.54700854700855E-2</v>
      </c>
      <c r="J190">
        <f t="shared" si="14"/>
        <v>-1.8550724637681149E-2</v>
      </c>
      <c r="K190">
        <f t="shared" si="15"/>
        <v>-2.9498525073746729E-3</v>
      </c>
    </row>
    <row r="191" spans="1:11" x14ac:dyDescent="0.35">
      <c r="A191" s="1">
        <v>42361</v>
      </c>
      <c r="B191">
        <v>1205</v>
      </c>
      <c r="C191">
        <v>21700</v>
      </c>
      <c r="D191">
        <v>1065</v>
      </c>
      <c r="E191">
        <v>35400</v>
      </c>
      <c r="F191">
        <v>1695</v>
      </c>
      <c r="G191">
        <f t="shared" si="11"/>
        <v>3.4334763948497882E-2</v>
      </c>
      <c r="H191">
        <f t="shared" si="12"/>
        <v>3.3333333333333437E-2</v>
      </c>
      <c r="I191">
        <f t="shared" si="13"/>
        <v>-4.6728971962616273E-3</v>
      </c>
      <c r="J191">
        <f t="shared" si="14"/>
        <v>4.5481393975191908E-2</v>
      </c>
      <c r="K191">
        <f t="shared" si="15"/>
        <v>2.9585798816567088E-3</v>
      </c>
    </row>
    <row r="192" spans="1:11" x14ac:dyDescent="0.35">
      <c r="A192" s="1">
        <v>42362</v>
      </c>
      <c r="B192">
        <v>1170</v>
      </c>
      <c r="C192">
        <v>21800</v>
      </c>
      <c r="D192">
        <v>1135</v>
      </c>
      <c r="E192">
        <v>35200</v>
      </c>
      <c r="F192">
        <v>1710</v>
      </c>
      <c r="G192">
        <f t="shared" si="11"/>
        <v>-2.9045643153526979E-2</v>
      </c>
      <c r="H192">
        <f t="shared" si="12"/>
        <v>4.6082949308756671E-3</v>
      </c>
      <c r="I192">
        <f t="shared" si="13"/>
        <v>6.5727699530516492E-2</v>
      </c>
      <c r="J192">
        <f t="shared" si="14"/>
        <v>-5.6497175141242417E-3</v>
      </c>
      <c r="K192">
        <f t="shared" si="15"/>
        <v>8.8495575221239076E-3</v>
      </c>
    </row>
    <row r="193" spans="1:11" x14ac:dyDescent="0.35">
      <c r="A193" s="1">
        <v>42363</v>
      </c>
      <c r="B193">
        <v>1170</v>
      </c>
      <c r="C193">
        <v>21800</v>
      </c>
      <c r="D193">
        <v>1135</v>
      </c>
      <c r="E193">
        <v>35200</v>
      </c>
      <c r="F193">
        <v>1710</v>
      </c>
      <c r="G193">
        <f t="shared" si="11"/>
        <v>0</v>
      </c>
      <c r="H193">
        <f t="shared" si="12"/>
        <v>0</v>
      </c>
      <c r="I193">
        <f t="shared" si="13"/>
        <v>0</v>
      </c>
      <c r="J193">
        <f t="shared" si="14"/>
        <v>0</v>
      </c>
      <c r="K193">
        <f t="shared" si="15"/>
        <v>0</v>
      </c>
    </row>
    <row r="194" spans="1:11" x14ac:dyDescent="0.35">
      <c r="A194" s="1">
        <v>42366</v>
      </c>
      <c r="B194">
        <v>1150</v>
      </c>
      <c r="C194">
        <v>20780</v>
      </c>
      <c r="D194">
        <v>1090</v>
      </c>
      <c r="E194">
        <v>35400</v>
      </c>
      <c r="F194">
        <v>1720</v>
      </c>
      <c r="G194">
        <f t="shared" si="11"/>
        <v>-1.7094017094017144E-2</v>
      </c>
      <c r="H194">
        <f t="shared" si="12"/>
        <v>-4.6788990825688104E-2</v>
      </c>
      <c r="I194">
        <f t="shared" si="13"/>
        <v>-3.9647577092510988E-2</v>
      </c>
      <c r="J194">
        <f t="shared" si="14"/>
        <v>5.6818181818181213E-3</v>
      </c>
      <c r="K194">
        <f t="shared" si="15"/>
        <v>5.8479532163742132E-3</v>
      </c>
    </row>
    <row r="195" spans="1:11" x14ac:dyDescent="0.35">
      <c r="A195" s="1">
        <v>42367</v>
      </c>
      <c r="B195">
        <v>1130</v>
      </c>
      <c r="C195">
        <v>20700</v>
      </c>
      <c r="D195">
        <v>1090</v>
      </c>
      <c r="E195">
        <v>35360</v>
      </c>
      <c r="F195">
        <v>1720</v>
      </c>
      <c r="G195">
        <f t="shared" si="11"/>
        <v>-1.7391304347826098E-2</v>
      </c>
      <c r="H195">
        <f t="shared" si="12"/>
        <v>-3.8498556304138454E-3</v>
      </c>
      <c r="I195">
        <f t="shared" si="13"/>
        <v>0</v>
      </c>
      <c r="J195">
        <f t="shared" si="14"/>
        <v>-1.1299435028248039E-3</v>
      </c>
      <c r="K195">
        <f t="shared" si="15"/>
        <v>0</v>
      </c>
    </row>
    <row r="196" spans="1:11" x14ac:dyDescent="0.35">
      <c r="A196" s="1">
        <v>42368</v>
      </c>
      <c r="B196">
        <v>1110</v>
      </c>
      <c r="C196">
        <v>20980</v>
      </c>
      <c r="D196">
        <v>1090</v>
      </c>
      <c r="E196">
        <v>35700</v>
      </c>
      <c r="F196">
        <v>1720</v>
      </c>
      <c r="G196">
        <f t="shared" ref="G196:G259" si="16">B196/B195-1</f>
        <v>-1.7699115044247815E-2</v>
      </c>
      <c r="H196">
        <f t="shared" ref="H196:H259" si="17">C196/C195-1</f>
        <v>1.352657004830915E-2</v>
      </c>
      <c r="I196">
        <f t="shared" ref="I196:I259" si="18">D196/D195-1</f>
        <v>0</v>
      </c>
      <c r="J196">
        <f t="shared" ref="J196:J259" si="19">E196/E195-1</f>
        <v>9.6153846153845812E-3</v>
      </c>
      <c r="K196">
        <f t="shared" ref="K196:K259" si="20">F196/F195-1</f>
        <v>0</v>
      </c>
    </row>
    <row r="197" spans="1:11" x14ac:dyDescent="0.35">
      <c r="A197" s="1">
        <v>42369</v>
      </c>
      <c r="B197">
        <v>1110</v>
      </c>
      <c r="C197">
        <v>20980</v>
      </c>
      <c r="D197">
        <v>1090</v>
      </c>
      <c r="E197">
        <v>35700</v>
      </c>
      <c r="F197">
        <v>1720</v>
      </c>
      <c r="G197">
        <f t="shared" si="16"/>
        <v>0</v>
      </c>
      <c r="H197">
        <f t="shared" si="17"/>
        <v>0</v>
      </c>
      <c r="I197">
        <f t="shared" si="18"/>
        <v>0</v>
      </c>
      <c r="J197">
        <f t="shared" si="19"/>
        <v>0</v>
      </c>
      <c r="K197">
        <f t="shared" si="20"/>
        <v>0</v>
      </c>
    </row>
    <row r="198" spans="1:11" x14ac:dyDescent="0.35">
      <c r="A198" s="1">
        <v>42370</v>
      </c>
      <c r="B198">
        <v>1110</v>
      </c>
      <c r="C198">
        <v>20980</v>
      </c>
      <c r="D198">
        <v>1090</v>
      </c>
      <c r="E198">
        <v>35700</v>
      </c>
      <c r="F198">
        <v>1720</v>
      </c>
      <c r="G198">
        <f t="shared" si="16"/>
        <v>0</v>
      </c>
      <c r="H198">
        <f t="shared" si="17"/>
        <v>0</v>
      </c>
      <c r="I198">
        <f t="shared" si="18"/>
        <v>0</v>
      </c>
      <c r="J198">
        <f t="shared" si="19"/>
        <v>0</v>
      </c>
      <c r="K198">
        <f t="shared" si="20"/>
        <v>0</v>
      </c>
    </row>
    <row r="199" spans="1:11" x14ac:dyDescent="0.35">
      <c r="A199" s="1">
        <v>42373</v>
      </c>
      <c r="B199">
        <v>1105</v>
      </c>
      <c r="C199">
        <v>20500</v>
      </c>
      <c r="D199">
        <v>1050</v>
      </c>
      <c r="E199">
        <v>34120</v>
      </c>
      <c r="F199">
        <v>1720</v>
      </c>
      <c r="G199">
        <f t="shared" si="16"/>
        <v>-4.5045045045044585E-3</v>
      </c>
      <c r="H199">
        <f t="shared" si="17"/>
        <v>-2.2878932316491851E-2</v>
      </c>
      <c r="I199">
        <f t="shared" si="18"/>
        <v>-3.669724770642202E-2</v>
      </c>
      <c r="J199">
        <f t="shared" si="19"/>
        <v>-4.4257703081232447E-2</v>
      </c>
      <c r="K199">
        <f t="shared" si="20"/>
        <v>0</v>
      </c>
    </row>
    <row r="200" spans="1:11" x14ac:dyDescent="0.35">
      <c r="A200" s="1">
        <v>42374</v>
      </c>
      <c r="B200">
        <v>1085</v>
      </c>
      <c r="C200">
        <v>20880</v>
      </c>
      <c r="D200">
        <v>1045</v>
      </c>
      <c r="E200">
        <v>34280</v>
      </c>
      <c r="F200">
        <v>1750</v>
      </c>
      <c r="G200">
        <f t="shared" si="16"/>
        <v>-1.8099547511312264E-2</v>
      </c>
      <c r="H200">
        <f t="shared" si="17"/>
        <v>1.8536585365853675E-2</v>
      </c>
      <c r="I200">
        <f t="shared" si="18"/>
        <v>-4.761904761904745E-3</v>
      </c>
      <c r="J200">
        <f t="shared" si="19"/>
        <v>4.6893317702227932E-3</v>
      </c>
      <c r="K200">
        <f t="shared" si="20"/>
        <v>1.744186046511631E-2</v>
      </c>
    </row>
    <row r="201" spans="1:11" x14ac:dyDescent="0.35">
      <c r="A201" s="1">
        <v>42375</v>
      </c>
      <c r="B201">
        <v>1060</v>
      </c>
      <c r="C201">
        <v>20280</v>
      </c>
      <c r="D201">
        <v>1020</v>
      </c>
      <c r="E201">
        <v>34100</v>
      </c>
      <c r="F201">
        <v>1735</v>
      </c>
      <c r="G201">
        <f t="shared" si="16"/>
        <v>-2.3041474654377891E-2</v>
      </c>
      <c r="H201">
        <f t="shared" si="17"/>
        <v>-2.8735632183908066E-2</v>
      </c>
      <c r="I201">
        <f t="shared" si="18"/>
        <v>-2.3923444976076569E-2</v>
      </c>
      <c r="J201">
        <f t="shared" si="19"/>
        <v>-5.2508751458576475E-3</v>
      </c>
      <c r="K201">
        <f t="shared" si="20"/>
        <v>-8.5714285714285632E-3</v>
      </c>
    </row>
    <row r="202" spans="1:11" x14ac:dyDescent="0.35">
      <c r="A202" s="1">
        <v>42376</v>
      </c>
      <c r="B202">
        <v>1035</v>
      </c>
      <c r="C202">
        <v>20100</v>
      </c>
      <c r="D202">
        <v>1035</v>
      </c>
      <c r="E202">
        <v>32520</v>
      </c>
      <c r="F202">
        <v>1745</v>
      </c>
      <c r="G202">
        <f t="shared" si="16"/>
        <v>-2.3584905660377409E-2</v>
      </c>
      <c r="H202">
        <f t="shared" si="17"/>
        <v>-8.8757396449704595E-3</v>
      </c>
      <c r="I202">
        <f t="shared" si="18"/>
        <v>1.4705882352941124E-2</v>
      </c>
      <c r="J202">
        <f t="shared" si="19"/>
        <v>-4.633431085043993E-2</v>
      </c>
      <c r="K202">
        <f t="shared" si="20"/>
        <v>5.7636887608070175E-3</v>
      </c>
    </row>
    <row r="203" spans="1:11" x14ac:dyDescent="0.35">
      <c r="A203" s="1">
        <v>42377</v>
      </c>
      <c r="B203">
        <v>1015</v>
      </c>
      <c r="C203">
        <v>19900</v>
      </c>
      <c r="D203">
        <v>1010</v>
      </c>
      <c r="E203">
        <v>32140</v>
      </c>
      <c r="F203">
        <v>1740</v>
      </c>
      <c r="G203">
        <f t="shared" si="16"/>
        <v>-1.9323671497584516E-2</v>
      </c>
      <c r="H203">
        <f t="shared" si="17"/>
        <v>-9.9502487562188602E-3</v>
      </c>
      <c r="I203">
        <f t="shared" si="18"/>
        <v>-2.4154589371980673E-2</v>
      </c>
      <c r="J203">
        <f t="shared" si="19"/>
        <v>-1.1685116851168464E-2</v>
      </c>
      <c r="K203">
        <f t="shared" si="20"/>
        <v>-2.8653295128939771E-3</v>
      </c>
    </row>
    <row r="204" spans="1:11" x14ac:dyDescent="0.35">
      <c r="A204" s="1">
        <v>42380</v>
      </c>
      <c r="B204">
        <v>1015</v>
      </c>
      <c r="C204">
        <v>19900</v>
      </c>
      <c r="D204">
        <v>1010</v>
      </c>
      <c r="E204">
        <v>32140</v>
      </c>
      <c r="F204">
        <v>1740</v>
      </c>
      <c r="G204">
        <f t="shared" si="16"/>
        <v>0</v>
      </c>
      <c r="H204">
        <f t="shared" si="17"/>
        <v>0</v>
      </c>
      <c r="I204">
        <f t="shared" si="18"/>
        <v>0</v>
      </c>
      <c r="J204">
        <f t="shared" si="19"/>
        <v>0</v>
      </c>
      <c r="K204">
        <f t="shared" si="20"/>
        <v>0</v>
      </c>
    </row>
    <row r="205" spans="1:11" x14ac:dyDescent="0.35">
      <c r="A205" s="1">
        <v>42381</v>
      </c>
      <c r="B205">
        <v>955</v>
      </c>
      <c r="C205">
        <v>19620</v>
      </c>
      <c r="D205">
        <v>995</v>
      </c>
      <c r="E205">
        <v>30900</v>
      </c>
      <c r="F205">
        <v>1730</v>
      </c>
      <c r="G205">
        <f t="shared" si="16"/>
        <v>-5.9113300492610876E-2</v>
      </c>
      <c r="H205">
        <f t="shared" si="17"/>
        <v>-1.4070351758794009E-2</v>
      </c>
      <c r="I205">
        <f t="shared" si="18"/>
        <v>-1.4851485148514865E-2</v>
      </c>
      <c r="J205">
        <f t="shared" si="19"/>
        <v>-3.85812072184194E-2</v>
      </c>
      <c r="K205">
        <f t="shared" si="20"/>
        <v>-5.7471264367816577E-3</v>
      </c>
    </row>
    <row r="206" spans="1:11" x14ac:dyDescent="0.35">
      <c r="A206" s="1">
        <v>42382</v>
      </c>
      <c r="B206">
        <v>961</v>
      </c>
      <c r="C206">
        <v>19720</v>
      </c>
      <c r="D206">
        <v>995</v>
      </c>
      <c r="E206">
        <v>31440</v>
      </c>
      <c r="F206">
        <v>1725</v>
      </c>
      <c r="G206">
        <f t="shared" si="16"/>
        <v>6.2827225130890341E-3</v>
      </c>
      <c r="H206">
        <f t="shared" si="17"/>
        <v>5.0968399592252744E-3</v>
      </c>
      <c r="I206">
        <f t="shared" si="18"/>
        <v>0</v>
      </c>
      <c r="J206">
        <f t="shared" si="19"/>
        <v>1.7475728155339709E-2</v>
      </c>
      <c r="K206">
        <f t="shared" si="20"/>
        <v>-2.8901734104046506E-3</v>
      </c>
    </row>
    <row r="207" spans="1:11" x14ac:dyDescent="0.35">
      <c r="A207" s="1">
        <v>42383</v>
      </c>
      <c r="B207">
        <v>987</v>
      </c>
      <c r="C207">
        <v>20480</v>
      </c>
      <c r="D207">
        <v>1010</v>
      </c>
      <c r="E207">
        <v>32500</v>
      </c>
      <c r="F207">
        <v>1740</v>
      </c>
      <c r="G207">
        <f t="shared" si="16"/>
        <v>2.7055150884495394E-2</v>
      </c>
      <c r="H207">
        <f t="shared" si="17"/>
        <v>3.8539553752535483E-2</v>
      </c>
      <c r="I207">
        <f t="shared" si="18"/>
        <v>1.5075376884422065E-2</v>
      </c>
      <c r="J207">
        <f t="shared" si="19"/>
        <v>3.3715012722646209E-2</v>
      </c>
      <c r="K207">
        <f t="shared" si="20"/>
        <v>8.6956521739129933E-3</v>
      </c>
    </row>
    <row r="208" spans="1:11" x14ac:dyDescent="0.35">
      <c r="A208" s="1">
        <v>42384</v>
      </c>
      <c r="B208">
        <v>978</v>
      </c>
      <c r="C208">
        <v>19960</v>
      </c>
      <c r="D208">
        <v>1010</v>
      </c>
      <c r="E208">
        <v>32000</v>
      </c>
      <c r="F208">
        <v>1740</v>
      </c>
      <c r="G208">
        <f t="shared" si="16"/>
        <v>-9.1185410334346795E-3</v>
      </c>
      <c r="H208">
        <f t="shared" si="17"/>
        <v>-2.5390625E-2</v>
      </c>
      <c r="I208">
        <f t="shared" si="18"/>
        <v>0</v>
      </c>
      <c r="J208">
        <f t="shared" si="19"/>
        <v>-1.538461538461533E-2</v>
      </c>
      <c r="K208">
        <f t="shared" si="20"/>
        <v>0</v>
      </c>
    </row>
    <row r="209" spans="1:11" x14ac:dyDescent="0.35">
      <c r="A209" s="1">
        <v>42387</v>
      </c>
      <c r="B209">
        <v>881</v>
      </c>
      <c r="C209">
        <v>19800</v>
      </c>
      <c r="D209">
        <v>987</v>
      </c>
      <c r="E209">
        <v>31020</v>
      </c>
      <c r="F209">
        <v>1725</v>
      </c>
      <c r="G209">
        <f t="shared" si="16"/>
        <v>-9.918200408997957E-2</v>
      </c>
      <c r="H209">
        <f t="shared" si="17"/>
        <v>-8.0160320641282645E-3</v>
      </c>
      <c r="I209">
        <f t="shared" si="18"/>
        <v>-2.2772277227722793E-2</v>
      </c>
      <c r="J209">
        <f t="shared" si="19"/>
        <v>-3.0625000000000013E-2</v>
      </c>
      <c r="K209">
        <f t="shared" si="20"/>
        <v>-8.6206896551723755E-3</v>
      </c>
    </row>
    <row r="210" spans="1:11" x14ac:dyDescent="0.35">
      <c r="A210" s="1">
        <v>42388</v>
      </c>
      <c r="B210">
        <v>923</v>
      </c>
      <c r="C210">
        <v>20100</v>
      </c>
      <c r="D210">
        <v>1000</v>
      </c>
      <c r="E210">
        <v>31660</v>
      </c>
      <c r="F210">
        <v>1685</v>
      </c>
      <c r="G210">
        <f t="shared" si="16"/>
        <v>4.7673098751418896E-2</v>
      </c>
      <c r="H210">
        <f t="shared" si="17"/>
        <v>1.5151515151515138E-2</v>
      </c>
      <c r="I210">
        <f t="shared" si="18"/>
        <v>1.3171225937183451E-2</v>
      </c>
      <c r="J210">
        <f t="shared" si="19"/>
        <v>2.0631850419084552E-2</v>
      </c>
      <c r="K210">
        <f t="shared" si="20"/>
        <v>-2.3188405797101463E-2</v>
      </c>
    </row>
    <row r="211" spans="1:11" x14ac:dyDescent="0.35">
      <c r="A211" s="1">
        <v>42389</v>
      </c>
      <c r="B211">
        <v>914</v>
      </c>
      <c r="C211">
        <v>20700</v>
      </c>
      <c r="D211">
        <v>995</v>
      </c>
      <c r="E211">
        <v>32500</v>
      </c>
      <c r="F211">
        <v>1675</v>
      </c>
      <c r="G211">
        <f t="shared" si="16"/>
        <v>-9.750812567713929E-3</v>
      </c>
      <c r="H211">
        <f t="shared" si="17"/>
        <v>2.9850746268656803E-2</v>
      </c>
      <c r="I211">
        <f t="shared" si="18"/>
        <v>-5.0000000000000044E-3</v>
      </c>
      <c r="J211">
        <f t="shared" si="19"/>
        <v>2.653190145293749E-2</v>
      </c>
      <c r="K211">
        <f t="shared" si="20"/>
        <v>-5.9347181008901906E-3</v>
      </c>
    </row>
    <row r="212" spans="1:11" x14ac:dyDescent="0.35">
      <c r="A212" s="1">
        <v>42390</v>
      </c>
      <c r="B212">
        <v>950</v>
      </c>
      <c r="C212">
        <v>21400</v>
      </c>
      <c r="D212">
        <v>985</v>
      </c>
      <c r="E212">
        <v>33460</v>
      </c>
      <c r="F212">
        <v>1715</v>
      </c>
      <c r="G212">
        <f t="shared" si="16"/>
        <v>3.938730853391692E-2</v>
      </c>
      <c r="H212">
        <f t="shared" si="17"/>
        <v>3.3816425120772875E-2</v>
      </c>
      <c r="I212">
        <f t="shared" si="18"/>
        <v>-1.0050251256281451E-2</v>
      </c>
      <c r="J212">
        <f t="shared" si="19"/>
        <v>2.9538461538461513E-2</v>
      </c>
      <c r="K212">
        <f t="shared" si="20"/>
        <v>2.3880597014925398E-2</v>
      </c>
    </row>
    <row r="213" spans="1:11" x14ac:dyDescent="0.35">
      <c r="A213" s="1">
        <v>42391</v>
      </c>
      <c r="B213">
        <v>1020</v>
      </c>
      <c r="C213">
        <v>21980</v>
      </c>
      <c r="D213">
        <v>1025</v>
      </c>
      <c r="E213">
        <v>34600</v>
      </c>
      <c r="F213">
        <v>1725</v>
      </c>
      <c r="G213">
        <f t="shared" si="16"/>
        <v>7.3684210526315796E-2</v>
      </c>
      <c r="H213">
        <f t="shared" si="17"/>
        <v>2.710280373831786E-2</v>
      </c>
      <c r="I213">
        <f t="shared" si="18"/>
        <v>4.0609137055837463E-2</v>
      </c>
      <c r="J213">
        <f t="shared" si="19"/>
        <v>3.4070531978481755E-2</v>
      </c>
      <c r="K213">
        <f t="shared" si="20"/>
        <v>5.8309037900874383E-3</v>
      </c>
    </row>
    <row r="214" spans="1:11" x14ac:dyDescent="0.35">
      <c r="A214" s="1">
        <v>42394</v>
      </c>
      <c r="B214">
        <v>958</v>
      </c>
      <c r="C214">
        <v>21700</v>
      </c>
      <c r="D214">
        <v>1025</v>
      </c>
      <c r="E214">
        <v>34320</v>
      </c>
      <c r="F214">
        <v>1745</v>
      </c>
      <c r="G214">
        <f t="shared" si="16"/>
        <v>-6.0784313725490202E-2</v>
      </c>
      <c r="H214">
        <f t="shared" si="17"/>
        <v>-1.2738853503184711E-2</v>
      </c>
      <c r="I214">
        <f t="shared" si="18"/>
        <v>0</v>
      </c>
      <c r="J214">
        <f t="shared" si="19"/>
        <v>-8.0924855491329994E-3</v>
      </c>
      <c r="K214">
        <f t="shared" si="20"/>
        <v>1.1594202898550732E-2</v>
      </c>
    </row>
    <row r="215" spans="1:11" x14ac:dyDescent="0.35">
      <c r="A215" s="1">
        <v>42395</v>
      </c>
      <c r="B215">
        <v>975</v>
      </c>
      <c r="C215">
        <v>21480</v>
      </c>
      <c r="D215">
        <v>1050</v>
      </c>
      <c r="E215">
        <v>34540</v>
      </c>
      <c r="F215">
        <v>1780</v>
      </c>
      <c r="G215">
        <f t="shared" si="16"/>
        <v>1.7745302713987554E-2</v>
      </c>
      <c r="H215">
        <f t="shared" si="17"/>
        <v>-1.0138248847926246E-2</v>
      </c>
      <c r="I215">
        <f t="shared" si="18"/>
        <v>2.4390243902439046E-2</v>
      </c>
      <c r="J215">
        <f t="shared" si="19"/>
        <v>6.4102564102563875E-3</v>
      </c>
      <c r="K215">
        <f t="shared" si="20"/>
        <v>2.005730659025784E-2</v>
      </c>
    </row>
    <row r="216" spans="1:11" x14ac:dyDescent="0.35">
      <c r="A216" s="1">
        <v>42396</v>
      </c>
      <c r="B216">
        <v>990</v>
      </c>
      <c r="C216">
        <v>21740</v>
      </c>
      <c r="D216">
        <v>1065</v>
      </c>
      <c r="E216">
        <v>34580</v>
      </c>
      <c r="F216">
        <v>1765</v>
      </c>
      <c r="G216">
        <f t="shared" si="16"/>
        <v>1.538461538461533E-2</v>
      </c>
      <c r="H216">
        <f t="shared" si="17"/>
        <v>1.2104283054003684E-2</v>
      </c>
      <c r="I216">
        <f t="shared" si="18"/>
        <v>1.4285714285714235E-2</v>
      </c>
      <c r="J216">
        <f t="shared" si="19"/>
        <v>1.1580775911985697E-3</v>
      </c>
      <c r="K216">
        <f t="shared" si="20"/>
        <v>-8.4269662921347965E-3</v>
      </c>
    </row>
    <row r="217" spans="1:11" x14ac:dyDescent="0.35">
      <c r="A217" s="1">
        <v>42397</v>
      </c>
      <c r="B217">
        <v>1020</v>
      </c>
      <c r="C217">
        <v>22000</v>
      </c>
      <c r="D217">
        <v>1065</v>
      </c>
      <c r="E217">
        <v>35000</v>
      </c>
      <c r="F217">
        <v>1785</v>
      </c>
      <c r="G217">
        <f t="shared" si="16"/>
        <v>3.0303030303030276E-2</v>
      </c>
      <c r="H217">
        <f t="shared" si="17"/>
        <v>1.1959521619135272E-2</v>
      </c>
      <c r="I217">
        <f t="shared" si="18"/>
        <v>0</v>
      </c>
      <c r="J217">
        <f t="shared" si="19"/>
        <v>1.2145748987854255E-2</v>
      </c>
      <c r="K217">
        <f t="shared" si="20"/>
        <v>1.1331444759206777E-2</v>
      </c>
    </row>
    <row r="218" spans="1:11" x14ac:dyDescent="0.35">
      <c r="A218" s="1">
        <v>42398</v>
      </c>
      <c r="B218">
        <v>1030</v>
      </c>
      <c r="C218">
        <v>22600</v>
      </c>
      <c r="D218">
        <v>1065</v>
      </c>
      <c r="E218">
        <v>35800</v>
      </c>
      <c r="F218">
        <v>1660</v>
      </c>
      <c r="G218">
        <f t="shared" si="16"/>
        <v>9.8039215686274161E-3</v>
      </c>
      <c r="H218">
        <f t="shared" si="17"/>
        <v>2.7272727272727337E-2</v>
      </c>
      <c r="I218">
        <f t="shared" si="18"/>
        <v>0</v>
      </c>
      <c r="J218">
        <f t="shared" si="19"/>
        <v>2.2857142857142909E-2</v>
      </c>
      <c r="K218">
        <f t="shared" si="20"/>
        <v>-7.0028011204481766E-2</v>
      </c>
    </row>
    <row r="219" spans="1:11" x14ac:dyDescent="0.35">
      <c r="A219" s="1">
        <v>42401</v>
      </c>
      <c r="B219">
        <v>1020</v>
      </c>
      <c r="C219">
        <v>22720</v>
      </c>
      <c r="D219">
        <v>1040</v>
      </c>
      <c r="E219">
        <v>35640</v>
      </c>
      <c r="F219">
        <v>1750</v>
      </c>
      <c r="G219">
        <f t="shared" si="16"/>
        <v>-9.7087378640776656E-3</v>
      </c>
      <c r="H219">
        <f t="shared" si="17"/>
        <v>5.3097345132744334E-3</v>
      </c>
      <c r="I219">
        <f t="shared" si="18"/>
        <v>-2.3474178403755874E-2</v>
      </c>
      <c r="J219">
        <f t="shared" si="19"/>
        <v>-4.4692737430167551E-3</v>
      </c>
      <c r="K219">
        <f t="shared" si="20"/>
        <v>5.4216867469879526E-2</v>
      </c>
    </row>
    <row r="220" spans="1:11" x14ac:dyDescent="0.35">
      <c r="A220" s="1">
        <v>42402</v>
      </c>
      <c r="B220">
        <v>993</v>
      </c>
      <c r="C220">
        <v>22500</v>
      </c>
      <c r="D220">
        <v>1035</v>
      </c>
      <c r="E220">
        <v>34740</v>
      </c>
      <c r="F220">
        <v>1750</v>
      </c>
      <c r="G220">
        <f t="shared" si="16"/>
        <v>-2.6470588235294135E-2</v>
      </c>
      <c r="H220">
        <f t="shared" si="17"/>
        <v>-9.6830985915492551E-3</v>
      </c>
      <c r="I220">
        <f t="shared" si="18"/>
        <v>-4.8076923076922906E-3</v>
      </c>
      <c r="J220">
        <f t="shared" si="19"/>
        <v>-2.5252525252525304E-2</v>
      </c>
      <c r="K220">
        <f t="shared" si="20"/>
        <v>0</v>
      </c>
    </row>
    <row r="221" spans="1:11" x14ac:dyDescent="0.35">
      <c r="A221" s="1">
        <v>42403</v>
      </c>
      <c r="B221">
        <v>1035</v>
      </c>
      <c r="C221">
        <v>23000</v>
      </c>
      <c r="D221">
        <v>1045</v>
      </c>
      <c r="E221">
        <v>35300</v>
      </c>
      <c r="F221">
        <v>1735</v>
      </c>
      <c r="G221">
        <f t="shared" si="16"/>
        <v>4.2296072507552962E-2</v>
      </c>
      <c r="H221">
        <f t="shared" si="17"/>
        <v>2.2222222222222143E-2</v>
      </c>
      <c r="I221">
        <f t="shared" si="18"/>
        <v>9.6618357487923134E-3</v>
      </c>
      <c r="J221">
        <f t="shared" si="19"/>
        <v>1.6119746689694958E-2</v>
      </c>
      <c r="K221">
        <f t="shared" si="20"/>
        <v>-8.5714285714285632E-3</v>
      </c>
    </row>
    <row r="222" spans="1:11" x14ac:dyDescent="0.35">
      <c r="A222" s="1">
        <v>42404</v>
      </c>
      <c r="B222">
        <v>1050</v>
      </c>
      <c r="C222">
        <v>23000</v>
      </c>
      <c r="D222">
        <v>1045</v>
      </c>
      <c r="E222">
        <v>35620</v>
      </c>
      <c r="F222">
        <v>1765</v>
      </c>
      <c r="G222">
        <f t="shared" si="16"/>
        <v>1.449275362318847E-2</v>
      </c>
      <c r="H222">
        <f t="shared" si="17"/>
        <v>0</v>
      </c>
      <c r="I222">
        <f t="shared" si="18"/>
        <v>0</v>
      </c>
      <c r="J222">
        <f t="shared" si="19"/>
        <v>9.0651558073653327E-3</v>
      </c>
      <c r="K222">
        <f t="shared" si="20"/>
        <v>1.7291066282420831E-2</v>
      </c>
    </row>
    <row r="223" spans="1:11" x14ac:dyDescent="0.35">
      <c r="A223" s="1">
        <v>42405</v>
      </c>
      <c r="B223">
        <v>1045</v>
      </c>
      <c r="C223">
        <v>23500</v>
      </c>
      <c r="D223">
        <v>1050</v>
      </c>
      <c r="E223">
        <v>35620</v>
      </c>
      <c r="F223">
        <v>1785</v>
      </c>
      <c r="G223">
        <f t="shared" si="16"/>
        <v>-4.761904761904745E-3</v>
      </c>
      <c r="H223">
        <f t="shared" si="17"/>
        <v>2.1739130434782705E-2</v>
      </c>
      <c r="I223">
        <f t="shared" si="18"/>
        <v>4.7846889952152249E-3</v>
      </c>
      <c r="J223">
        <f t="shared" si="19"/>
        <v>0</v>
      </c>
      <c r="K223">
        <f t="shared" si="20"/>
        <v>1.1331444759206777E-2</v>
      </c>
    </row>
    <row r="224" spans="1:11" x14ac:dyDescent="0.35">
      <c r="A224" s="1">
        <v>42408</v>
      </c>
      <c r="B224">
        <v>1060</v>
      </c>
      <c r="C224">
        <v>23200</v>
      </c>
      <c r="D224">
        <v>1050</v>
      </c>
      <c r="E224">
        <v>35620</v>
      </c>
      <c r="F224">
        <v>1780</v>
      </c>
      <c r="G224">
        <f t="shared" si="16"/>
        <v>1.4354066985645897E-2</v>
      </c>
      <c r="H224">
        <f t="shared" si="17"/>
        <v>-1.2765957446808529E-2</v>
      </c>
      <c r="I224">
        <f t="shared" si="18"/>
        <v>0</v>
      </c>
      <c r="J224">
        <f t="shared" si="19"/>
        <v>0</v>
      </c>
      <c r="K224">
        <f t="shared" si="20"/>
        <v>-2.8011204481792618E-3</v>
      </c>
    </row>
    <row r="225" spans="1:11" x14ac:dyDescent="0.35">
      <c r="A225" s="1">
        <v>42409</v>
      </c>
      <c r="B225">
        <v>1025</v>
      </c>
      <c r="C225">
        <v>23200</v>
      </c>
      <c r="D225">
        <v>1045</v>
      </c>
      <c r="E225">
        <v>35700</v>
      </c>
      <c r="F225">
        <v>1770</v>
      </c>
      <c r="G225">
        <f t="shared" si="16"/>
        <v>-3.301886792452835E-2</v>
      </c>
      <c r="H225">
        <f t="shared" si="17"/>
        <v>0</v>
      </c>
      <c r="I225">
        <f t="shared" si="18"/>
        <v>-4.761904761904745E-3</v>
      </c>
      <c r="J225">
        <f t="shared" si="19"/>
        <v>2.2459292532284181E-3</v>
      </c>
      <c r="K225">
        <f t="shared" si="20"/>
        <v>-5.6179775280899014E-3</v>
      </c>
    </row>
    <row r="226" spans="1:11" x14ac:dyDescent="0.35">
      <c r="A226" s="1">
        <v>42410</v>
      </c>
      <c r="B226">
        <v>1030</v>
      </c>
      <c r="C226">
        <v>23200</v>
      </c>
      <c r="D226">
        <v>1045</v>
      </c>
      <c r="E226">
        <v>35740</v>
      </c>
      <c r="F226">
        <v>1785</v>
      </c>
      <c r="G226">
        <f t="shared" si="16"/>
        <v>4.8780487804878092E-3</v>
      </c>
      <c r="H226">
        <f t="shared" si="17"/>
        <v>0</v>
      </c>
      <c r="I226">
        <f t="shared" si="18"/>
        <v>0</v>
      </c>
      <c r="J226">
        <f t="shared" si="19"/>
        <v>1.1204481792717047E-3</v>
      </c>
      <c r="K226">
        <f t="shared" si="20"/>
        <v>8.4745762711864181E-3</v>
      </c>
    </row>
    <row r="227" spans="1:11" x14ac:dyDescent="0.35">
      <c r="A227" s="1">
        <v>42411</v>
      </c>
      <c r="B227">
        <v>1035</v>
      </c>
      <c r="C227">
        <v>23100</v>
      </c>
      <c r="D227">
        <v>1055</v>
      </c>
      <c r="E227">
        <v>35680</v>
      </c>
      <c r="F227">
        <v>1785</v>
      </c>
      <c r="G227">
        <f t="shared" si="16"/>
        <v>4.8543689320388328E-3</v>
      </c>
      <c r="H227">
        <f t="shared" si="17"/>
        <v>-4.3103448275861878E-3</v>
      </c>
      <c r="I227">
        <f t="shared" si="18"/>
        <v>9.5693779904306719E-3</v>
      </c>
      <c r="J227">
        <f t="shared" si="19"/>
        <v>-1.6787912702853625E-3</v>
      </c>
      <c r="K227">
        <f t="shared" si="20"/>
        <v>0</v>
      </c>
    </row>
    <row r="228" spans="1:11" x14ac:dyDescent="0.35">
      <c r="A228" s="1">
        <v>42412</v>
      </c>
      <c r="B228">
        <v>1065</v>
      </c>
      <c r="C228">
        <v>23500</v>
      </c>
      <c r="D228">
        <v>1055</v>
      </c>
      <c r="E228">
        <v>36300</v>
      </c>
      <c r="F228">
        <v>1785</v>
      </c>
      <c r="G228">
        <f t="shared" si="16"/>
        <v>2.8985507246376718E-2</v>
      </c>
      <c r="H228">
        <f t="shared" si="17"/>
        <v>1.7316017316017396E-2</v>
      </c>
      <c r="I228">
        <f t="shared" si="18"/>
        <v>0</v>
      </c>
      <c r="J228">
        <f t="shared" si="19"/>
        <v>1.7376681614349687E-2</v>
      </c>
      <c r="K228">
        <f t="shared" si="20"/>
        <v>0</v>
      </c>
    </row>
    <row r="229" spans="1:11" x14ac:dyDescent="0.35">
      <c r="A229" s="1">
        <v>42415</v>
      </c>
      <c r="B229">
        <v>1070</v>
      </c>
      <c r="C229">
        <v>23560</v>
      </c>
      <c r="D229">
        <v>1060</v>
      </c>
      <c r="E229">
        <v>36380</v>
      </c>
      <c r="F229">
        <v>1780</v>
      </c>
      <c r="G229">
        <f t="shared" si="16"/>
        <v>4.6948356807512415E-3</v>
      </c>
      <c r="H229">
        <f t="shared" si="17"/>
        <v>2.553191489361728E-3</v>
      </c>
      <c r="I229">
        <f t="shared" si="18"/>
        <v>4.7393364928909332E-3</v>
      </c>
      <c r="J229">
        <f t="shared" si="19"/>
        <v>2.2038567493112282E-3</v>
      </c>
      <c r="K229">
        <f t="shared" si="20"/>
        <v>-2.8011204481792618E-3</v>
      </c>
    </row>
    <row r="230" spans="1:11" x14ac:dyDescent="0.35">
      <c r="A230" s="2">
        <v>42416</v>
      </c>
      <c r="B230">
        <v>1045</v>
      </c>
      <c r="C230">
        <v>23520</v>
      </c>
      <c r="D230">
        <v>1045</v>
      </c>
      <c r="E230">
        <v>36000</v>
      </c>
      <c r="F230">
        <v>1780</v>
      </c>
      <c r="G230">
        <f t="shared" si="16"/>
        <v>-2.3364485981308358E-2</v>
      </c>
      <c r="H230">
        <f t="shared" si="17"/>
        <v>-1.6977928692699651E-3</v>
      </c>
      <c r="I230">
        <f t="shared" si="18"/>
        <v>-1.4150943396226467E-2</v>
      </c>
      <c r="J230">
        <f t="shared" si="19"/>
        <v>-1.0445299615173154E-2</v>
      </c>
      <c r="K230">
        <f t="shared" si="20"/>
        <v>0</v>
      </c>
    </row>
    <row r="231" spans="1:11" x14ac:dyDescent="0.35">
      <c r="A231" s="2">
        <v>42417</v>
      </c>
      <c r="B231">
        <v>1155</v>
      </c>
      <c r="C231">
        <v>23900</v>
      </c>
      <c r="D231">
        <v>1085</v>
      </c>
      <c r="E231">
        <v>36880</v>
      </c>
      <c r="F231">
        <v>1785</v>
      </c>
      <c r="G231">
        <f t="shared" si="16"/>
        <v>0.10526315789473695</v>
      </c>
      <c r="H231">
        <f t="shared" si="17"/>
        <v>1.6156462585034115E-2</v>
      </c>
      <c r="I231">
        <f t="shared" si="18"/>
        <v>3.8277511961722466E-2</v>
      </c>
      <c r="J231">
        <f t="shared" si="19"/>
        <v>2.4444444444444491E-2</v>
      </c>
      <c r="K231">
        <f t="shared" si="20"/>
        <v>2.8089887640450062E-3</v>
      </c>
    </row>
    <row r="232" spans="1:11" x14ac:dyDescent="0.35">
      <c r="A232" s="2">
        <v>42418</v>
      </c>
      <c r="B232">
        <v>1160</v>
      </c>
      <c r="C232">
        <v>23560</v>
      </c>
      <c r="D232">
        <v>1090</v>
      </c>
      <c r="E232">
        <v>37000</v>
      </c>
      <c r="F232">
        <v>1775</v>
      </c>
      <c r="G232">
        <f t="shared" si="16"/>
        <v>4.3290043290042934E-3</v>
      </c>
      <c r="H232">
        <f t="shared" si="17"/>
        <v>-1.4225941422594146E-2</v>
      </c>
      <c r="I232">
        <f t="shared" si="18"/>
        <v>4.6082949308756671E-3</v>
      </c>
      <c r="J232">
        <f t="shared" si="19"/>
        <v>3.2537960954446277E-3</v>
      </c>
      <c r="K232">
        <f t="shared" si="20"/>
        <v>-5.6022408963585235E-3</v>
      </c>
    </row>
    <row r="233" spans="1:11" x14ac:dyDescent="0.35">
      <c r="A233" s="2">
        <v>42419</v>
      </c>
      <c r="B233">
        <v>1130</v>
      </c>
      <c r="C233">
        <v>23500</v>
      </c>
      <c r="D233">
        <v>1095</v>
      </c>
      <c r="E233">
        <v>37380</v>
      </c>
      <c r="F233">
        <v>1785</v>
      </c>
      <c r="G233">
        <f t="shared" si="16"/>
        <v>-2.5862068965517238E-2</v>
      </c>
      <c r="H233">
        <f t="shared" si="17"/>
        <v>-2.5466893039048921E-3</v>
      </c>
      <c r="I233">
        <f t="shared" si="18"/>
        <v>4.5871559633028358E-3</v>
      </c>
      <c r="J233">
        <f t="shared" si="19"/>
        <v>1.0270270270270165E-2</v>
      </c>
      <c r="K233">
        <f t="shared" si="20"/>
        <v>5.6338028169014009E-3</v>
      </c>
    </row>
    <row r="234" spans="1:11" x14ac:dyDescent="0.35">
      <c r="A234" s="1">
        <v>42422</v>
      </c>
      <c r="B234">
        <v>1165</v>
      </c>
      <c r="C234">
        <v>23300</v>
      </c>
      <c r="D234">
        <v>1110</v>
      </c>
      <c r="E234">
        <v>37020</v>
      </c>
      <c r="F234">
        <v>1785</v>
      </c>
      <c r="G234">
        <f t="shared" si="16"/>
        <v>3.0973451327433565E-2</v>
      </c>
      <c r="H234">
        <f t="shared" si="17"/>
        <v>-8.5106382978723527E-3</v>
      </c>
      <c r="I234">
        <f t="shared" si="18"/>
        <v>1.3698630136986356E-2</v>
      </c>
      <c r="J234">
        <f t="shared" si="19"/>
        <v>-9.6308186195827039E-3</v>
      </c>
      <c r="K234">
        <f t="shared" si="20"/>
        <v>0</v>
      </c>
    </row>
    <row r="235" spans="1:11" x14ac:dyDescent="0.35">
      <c r="A235" s="1">
        <v>42423</v>
      </c>
      <c r="B235">
        <v>1145</v>
      </c>
      <c r="C235">
        <v>23500</v>
      </c>
      <c r="D235">
        <v>1105</v>
      </c>
      <c r="E235">
        <v>36620</v>
      </c>
      <c r="F235">
        <v>1790</v>
      </c>
      <c r="G235">
        <f t="shared" si="16"/>
        <v>-1.7167381974248941E-2</v>
      </c>
      <c r="H235">
        <f t="shared" si="17"/>
        <v>8.5836909871244149E-3</v>
      </c>
      <c r="I235">
        <f t="shared" si="18"/>
        <v>-4.5045045045044585E-3</v>
      </c>
      <c r="J235">
        <f t="shared" si="19"/>
        <v>-1.0804970286331761E-2</v>
      </c>
      <c r="K235">
        <f t="shared" si="20"/>
        <v>2.8011204481792618E-3</v>
      </c>
    </row>
    <row r="236" spans="1:11" x14ac:dyDescent="0.35">
      <c r="A236" s="1">
        <v>42424</v>
      </c>
      <c r="B236">
        <v>1135</v>
      </c>
      <c r="C236">
        <v>23020</v>
      </c>
      <c r="D236">
        <v>1100</v>
      </c>
      <c r="E236">
        <v>36860</v>
      </c>
      <c r="F236">
        <v>1775</v>
      </c>
      <c r="G236">
        <f t="shared" si="16"/>
        <v>-8.733624454148492E-3</v>
      </c>
      <c r="H236">
        <f t="shared" si="17"/>
        <v>-2.0425531914893602E-2</v>
      </c>
      <c r="I236">
        <f t="shared" si="18"/>
        <v>-4.5248868778280382E-3</v>
      </c>
      <c r="J236">
        <f t="shared" si="19"/>
        <v>6.5537957400327862E-3</v>
      </c>
      <c r="K236">
        <f t="shared" si="20"/>
        <v>-8.379888268156388E-3</v>
      </c>
    </row>
    <row r="237" spans="1:11" x14ac:dyDescent="0.35">
      <c r="A237" s="1">
        <v>42425</v>
      </c>
      <c r="B237">
        <v>1150</v>
      </c>
      <c r="C237">
        <v>23100</v>
      </c>
      <c r="D237">
        <v>1085</v>
      </c>
      <c r="E237">
        <v>37500</v>
      </c>
      <c r="F237">
        <v>1785</v>
      </c>
      <c r="G237">
        <f t="shared" si="16"/>
        <v>1.3215859030837107E-2</v>
      </c>
      <c r="H237">
        <f t="shared" si="17"/>
        <v>3.4752389226759828E-3</v>
      </c>
      <c r="I237">
        <f t="shared" si="18"/>
        <v>-1.3636363636363669E-2</v>
      </c>
      <c r="J237">
        <f t="shared" si="19"/>
        <v>1.736299511665762E-2</v>
      </c>
      <c r="K237">
        <f t="shared" si="20"/>
        <v>5.6338028169014009E-3</v>
      </c>
    </row>
    <row r="238" spans="1:11" x14ac:dyDescent="0.35">
      <c r="A238" s="1">
        <v>42426</v>
      </c>
      <c r="B238">
        <v>1160</v>
      </c>
      <c r="C238">
        <v>23760</v>
      </c>
      <c r="D238">
        <v>1110</v>
      </c>
      <c r="E238">
        <v>37900</v>
      </c>
      <c r="F238">
        <v>1795</v>
      </c>
      <c r="G238">
        <f t="shared" si="16"/>
        <v>8.6956521739129933E-3</v>
      </c>
      <c r="H238">
        <f t="shared" si="17"/>
        <v>2.857142857142847E-2</v>
      </c>
      <c r="I238">
        <f t="shared" si="18"/>
        <v>2.3041474654377891E-2</v>
      </c>
      <c r="J238">
        <f t="shared" si="19"/>
        <v>1.0666666666666602E-2</v>
      </c>
      <c r="K238">
        <f t="shared" si="20"/>
        <v>5.6022408963585235E-3</v>
      </c>
    </row>
    <row r="239" spans="1:11" x14ac:dyDescent="0.35">
      <c r="A239" s="1">
        <v>42429</v>
      </c>
      <c r="B239">
        <v>1140</v>
      </c>
      <c r="C239">
        <v>23800</v>
      </c>
      <c r="D239">
        <v>1115</v>
      </c>
      <c r="E239">
        <v>37800</v>
      </c>
      <c r="F239">
        <v>1775</v>
      </c>
      <c r="G239">
        <f t="shared" si="16"/>
        <v>-1.7241379310344862E-2</v>
      </c>
      <c r="H239">
        <f t="shared" si="17"/>
        <v>1.6835016835017313E-3</v>
      </c>
      <c r="I239">
        <f t="shared" si="18"/>
        <v>4.5045045045044585E-3</v>
      </c>
      <c r="J239">
        <f t="shared" si="19"/>
        <v>-2.6385224274406704E-3</v>
      </c>
      <c r="K239">
        <f t="shared" si="20"/>
        <v>-1.1142061281337101E-2</v>
      </c>
    </row>
    <row r="240" spans="1:11" x14ac:dyDescent="0.35">
      <c r="A240" s="1">
        <v>42430</v>
      </c>
      <c r="B240">
        <v>1170</v>
      </c>
      <c r="C240">
        <v>23600</v>
      </c>
      <c r="D240">
        <v>1120</v>
      </c>
      <c r="E240">
        <v>37980</v>
      </c>
      <c r="F240">
        <v>1775</v>
      </c>
      <c r="G240">
        <f t="shared" si="16"/>
        <v>2.6315789473684292E-2</v>
      </c>
      <c r="H240">
        <f t="shared" si="17"/>
        <v>-8.4033613445377853E-3</v>
      </c>
      <c r="I240">
        <f t="shared" si="18"/>
        <v>4.484304932735439E-3</v>
      </c>
      <c r="J240">
        <f t="shared" si="19"/>
        <v>4.761904761904745E-3</v>
      </c>
      <c r="K240">
        <f t="shared" si="20"/>
        <v>0</v>
      </c>
    </row>
    <row r="241" spans="1:11" x14ac:dyDescent="0.35">
      <c r="A241" s="1">
        <v>42431</v>
      </c>
      <c r="B241">
        <v>1260</v>
      </c>
      <c r="C241">
        <v>23700</v>
      </c>
      <c r="D241">
        <v>1140</v>
      </c>
      <c r="E241">
        <v>38200</v>
      </c>
      <c r="F241">
        <v>1840</v>
      </c>
      <c r="G241">
        <f t="shared" si="16"/>
        <v>7.6923076923076872E-2</v>
      </c>
      <c r="H241">
        <f t="shared" si="17"/>
        <v>4.237288135593209E-3</v>
      </c>
      <c r="I241">
        <f t="shared" si="18"/>
        <v>1.7857142857142794E-2</v>
      </c>
      <c r="J241">
        <f t="shared" si="19"/>
        <v>5.7925223802000048E-3</v>
      </c>
      <c r="K241">
        <f t="shared" si="20"/>
        <v>3.6619718309859106E-2</v>
      </c>
    </row>
    <row r="242" spans="1:11" x14ac:dyDescent="0.35">
      <c r="A242" s="1">
        <v>42432</v>
      </c>
      <c r="B242">
        <v>1320</v>
      </c>
      <c r="C242">
        <v>24600</v>
      </c>
      <c r="D242">
        <v>1155</v>
      </c>
      <c r="E242">
        <v>38100</v>
      </c>
      <c r="F242">
        <v>1900</v>
      </c>
      <c r="G242">
        <f t="shared" si="16"/>
        <v>4.7619047619047672E-2</v>
      </c>
      <c r="H242">
        <f t="shared" si="17"/>
        <v>3.7974683544303778E-2</v>
      </c>
      <c r="I242">
        <f t="shared" si="18"/>
        <v>1.3157894736842035E-2</v>
      </c>
      <c r="J242">
        <f t="shared" si="19"/>
        <v>-2.6178010471203939E-3</v>
      </c>
      <c r="K242">
        <f t="shared" si="20"/>
        <v>3.2608695652173836E-2</v>
      </c>
    </row>
    <row r="243" spans="1:11" x14ac:dyDescent="0.35">
      <c r="A243" s="1">
        <v>42433</v>
      </c>
      <c r="B243">
        <v>1365</v>
      </c>
      <c r="C243">
        <v>24580</v>
      </c>
      <c r="D243">
        <v>1155</v>
      </c>
      <c r="E243">
        <v>38080</v>
      </c>
      <c r="F243">
        <v>1815</v>
      </c>
      <c r="G243">
        <f t="shared" si="16"/>
        <v>3.4090909090909172E-2</v>
      </c>
      <c r="H243">
        <f t="shared" si="17"/>
        <v>-8.1300813008133854E-4</v>
      </c>
      <c r="I243">
        <f t="shared" si="18"/>
        <v>0</v>
      </c>
      <c r="J243">
        <f t="shared" si="19"/>
        <v>-5.2493438320211361E-4</v>
      </c>
      <c r="K243">
        <f t="shared" si="20"/>
        <v>-4.4736842105263186E-2</v>
      </c>
    </row>
    <row r="244" spans="1:11" x14ac:dyDescent="0.35">
      <c r="A244" s="1">
        <v>42436</v>
      </c>
      <c r="B244">
        <v>1425</v>
      </c>
      <c r="C244">
        <v>24840</v>
      </c>
      <c r="D244">
        <v>1165</v>
      </c>
      <c r="E244">
        <v>38120</v>
      </c>
      <c r="F244">
        <v>1820</v>
      </c>
      <c r="G244">
        <f t="shared" si="16"/>
        <v>4.3956043956044022E-2</v>
      </c>
      <c r="H244">
        <f t="shared" si="17"/>
        <v>1.0577705451586761E-2</v>
      </c>
      <c r="I244">
        <f t="shared" si="18"/>
        <v>8.6580086580085869E-3</v>
      </c>
      <c r="J244">
        <f t="shared" si="19"/>
        <v>1.0504201680672232E-3</v>
      </c>
      <c r="K244">
        <f t="shared" si="20"/>
        <v>2.7548209366390353E-3</v>
      </c>
    </row>
    <row r="245" spans="1:11" x14ac:dyDescent="0.35">
      <c r="A245" s="1">
        <v>42437</v>
      </c>
      <c r="B245">
        <v>1340</v>
      </c>
      <c r="C245">
        <v>24700</v>
      </c>
      <c r="D245">
        <v>1170</v>
      </c>
      <c r="E245">
        <v>37980</v>
      </c>
      <c r="F245">
        <v>1830</v>
      </c>
      <c r="G245">
        <f t="shared" si="16"/>
        <v>-5.9649122807017507E-2</v>
      </c>
      <c r="H245">
        <f t="shared" si="17"/>
        <v>-5.6360708534621828E-3</v>
      </c>
      <c r="I245">
        <f t="shared" si="18"/>
        <v>4.2918454935623185E-3</v>
      </c>
      <c r="J245">
        <f t="shared" si="19"/>
        <v>-3.672612801678854E-3</v>
      </c>
      <c r="K245">
        <f t="shared" si="20"/>
        <v>5.494505494505475E-3</v>
      </c>
    </row>
    <row r="246" spans="1:11" x14ac:dyDescent="0.35">
      <c r="A246" s="1">
        <v>42438</v>
      </c>
      <c r="B246">
        <v>1340</v>
      </c>
      <c r="C246">
        <v>25120</v>
      </c>
      <c r="D246">
        <v>1170</v>
      </c>
      <c r="E246">
        <v>37980</v>
      </c>
      <c r="F246">
        <v>1815</v>
      </c>
      <c r="G246">
        <f t="shared" si="16"/>
        <v>0</v>
      </c>
      <c r="H246">
        <f t="shared" si="17"/>
        <v>1.7004048582995868E-2</v>
      </c>
      <c r="I246">
        <f t="shared" si="18"/>
        <v>0</v>
      </c>
      <c r="J246">
        <f t="shared" si="19"/>
        <v>0</v>
      </c>
      <c r="K246">
        <f t="shared" si="20"/>
        <v>-8.1967213114754189E-3</v>
      </c>
    </row>
    <row r="247" spans="1:11" x14ac:dyDescent="0.35">
      <c r="A247" s="1">
        <v>42439</v>
      </c>
      <c r="B247">
        <v>1350</v>
      </c>
      <c r="C247">
        <v>25200</v>
      </c>
      <c r="D247">
        <v>1170</v>
      </c>
      <c r="E247">
        <v>38400</v>
      </c>
      <c r="F247">
        <v>1830</v>
      </c>
      <c r="G247">
        <f t="shared" si="16"/>
        <v>7.4626865671640896E-3</v>
      </c>
      <c r="H247">
        <f t="shared" si="17"/>
        <v>3.1847133757962887E-3</v>
      </c>
      <c r="I247">
        <f t="shared" si="18"/>
        <v>0</v>
      </c>
      <c r="J247">
        <f t="shared" si="19"/>
        <v>1.1058451816745585E-2</v>
      </c>
      <c r="K247">
        <f t="shared" si="20"/>
        <v>8.2644628099173278E-3</v>
      </c>
    </row>
    <row r="248" spans="1:11" x14ac:dyDescent="0.35">
      <c r="A248" s="1">
        <v>42440</v>
      </c>
      <c r="B248">
        <v>1360</v>
      </c>
      <c r="C248">
        <v>25400</v>
      </c>
      <c r="D248">
        <v>1155</v>
      </c>
      <c r="E248">
        <v>38480</v>
      </c>
      <c r="F248">
        <v>1825</v>
      </c>
      <c r="G248">
        <f t="shared" si="16"/>
        <v>7.4074074074073071E-3</v>
      </c>
      <c r="H248">
        <f t="shared" si="17"/>
        <v>7.9365079365079083E-3</v>
      </c>
      <c r="I248">
        <f t="shared" si="18"/>
        <v>-1.2820512820512775E-2</v>
      </c>
      <c r="J248">
        <f t="shared" si="19"/>
        <v>2.083333333333437E-3</v>
      </c>
      <c r="K248">
        <f t="shared" si="20"/>
        <v>-2.732240437158473E-3</v>
      </c>
    </row>
    <row r="249" spans="1:11" x14ac:dyDescent="0.35">
      <c r="A249" s="1">
        <v>42443</v>
      </c>
      <c r="B249">
        <v>1335</v>
      </c>
      <c r="C249">
        <v>25380</v>
      </c>
      <c r="D249">
        <v>1155</v>
      </c>
      <c r="E249">
        <v>38360</v>
      </c>
      <c r="F249">
        <v>1815</v>
      </c>
      <c r="G249">
        <f t="shared" si="16"/>
        <v>-1.8382352941176516E-2</v>
      </c>
      <c r="H249">
        <f t="shared" si="17"/>
        <v>-7.8740157480317041E-4</v>
      </c>
      <c r="I249">
        <f t="shared" si="18"/>
        <v>0</v>
      </c>
      <c r="J249">
        <f t="shared" si="19"/>
        <v>-3.1185031185031464E-3</v>
      </c>
      <c r="K249">
        <f t="shared" si="20"/>
        <v>-5.479452054794498E-3</v>
      </c>
    </row>
    <row r="250" spans="1:11" x14ac:dyDescent="0.35">
      <c r="A250" s="1">
        <v>42444</v>
      </c>
      <c r="B250">
        <v>1285</v>
      </c>
      <c r="C250">
        <v>24680</v>
      </c>
      <c r="D250">
        <v>1145</v>
      </c>
      <c r="E250">
        <v>37720</v>
      </c>
      <c r="F250">
        <v>1810</v>
      </c>
      <c r="G250">
        <f t="shared" si="16"/>
        <v>-3.7453183520599231E-2</v>
      </c>
      <c r="H250">
        <f t="shared" si="17"/>
        <v>-2.7580772261623365E-2</v>
      </c>
      <c r="I250">
        <f t="shared" si="18"/>
        <v>-8.6580086580086979E-3</v>
      </c>
      <c r="J250">
        <f t="shared" si="19"/>
        <v>-1.6684045881126153E-2</v>
      </c>
      <c r="K250">
        <f t="shared" si="20"/>
        <v>-2.7548209366391463E-3</v>
      </c>
    </row>
    <row r="251" spans="1:11" x14ac:dyDescent="0.35">
      <c r="A251" s="1">
        <v>42445</v>
      </c>
      <c r="B251">
        <v>1345</v>
      </c>
      <c r="C251">
        <v>24040</v>
      </c>
      <c r="D251">
        <v>1130</v>
      </c>
      <c r="E251">
        <v>37700</v>
      </c>
      <c r="F251">
        <v>1830</v>
      </c>
      <c r="G251">
        <f t="shared" si="16"/>
        <v>4.6692607003891107E-2</v>
      </c>
      <c r="H251">
        <f t="shared" si="17"/>
        <v>-2.5931928687196071E-2</v>
      </c>
      <c r="I251">
        <f t="shared" si="18"/>
        <v>-1.3100436681222738E-2</v>
      </c>
      <c r="J251">
        <f t="shared" si="19"/>
        <v>-5.3022269353131257E-4</v>
      </c>
      <c r="K251">
        <f t="shared" si="20"/>
        <v>1.1049723756906049E-2</v>
      </c>
    </row>
    <row r="252" spans="1:11" x14ac:dyDescent="0.35">
      <c r="A252" s="1">
        <v>42446</v>
      </c>
      <c r="B252">
        <v>1380</v>
      </c>
      <c r="C252">
        <v>24400</v>
      </c>
      <c r="D252">
        <v>1145</v>
      </c>
      <c r="E252">
        <v>37800</v>
      </c>
      <c r="F252">
        <v>1820</v>
      </c>
      <c r="G252">
        <f t="shared" si="16"/>
        <v>2.6022304832713727E-2</v>
      </c>
      <c r="H252">
        <f t="shared" si="17"/>
        <v>1.4975041597337757E-2</v>
      </c>
      <c r="I252">
        <f t="shared" si="18"/>
        <v>1.327433628318575E-2</v>
      </c>
      <c r="J252">
        <f t="shared" si="19"/>
        <v>2.6525198938991412E-3</v>
      </c>
      <c r="K252">
        <f t="shared" si="20"/>
        <v>-5.464480874316946E-3</v>
      </c>
    </row>
    <row r="253" spans="1:11" x14ac:dyDescent="0.35">
      <c r="A253" s="1">
        <v>42447</v>
      </c>
      <c r="B253">
        <v>1325</v>
      </c>
      <c r="C253">
        <v>24500</v>
      </c>
      <c r="D253">
        <v>1145</v>
      </c>
      <c r="E253">
        <v>39440</v>
      </c>
      <c r="F253">
        <v>1800</v>
      </c>
      <c r="G253">
        <f t="shared" si="16"/>
        <v>-3.9855072463768071E-2</v>
      </c>
      <c r="H253">
        <f t="shared" si="17"/>
        <v>4.098360655737654E-3</v>
      </c>
      <c r="I253">
        <f t="shared" si="18"/>
        <v>0</v>
      </c>
      <c r="J253">
        <f t="shared" si="19"/>
        <v>4.3386243386243306E-2</v>
      </c>
      <c r="K253">
        <f t="shared" si="20"/>
        <v>-1.098901098901095E-2</v>
      </c>
    </row>
    <row r="254" spans="1:11" x14ac:dyDescent="0.35">
      <c r="A254" s="1">
        <v>42450</v>
      </c>
      <c r="B254">
        <v>1325</v>
      </c>
      <c r="C254">
        <v>24500</v>
      </c>
      <c r="D254">
        <v>1145</v>
      </c>
      <c r="E254">
        <v>39440</v>
      </c>
      <c r="F254">
        <v>1800</v>
      </c>
      <c r="G254">
        <f t="shared" si="16"/>
        <v>0</v>
      </c>
      <c r="H254">
        <f t="shared" si="17"/>
        <v>0</v>
      </c>
      <c r="I254">
        <f t="shared" si="18"/>
        <v>0</v>
      </c>
      <c r="J254">
        <f t="shared" si="19"/>
        <v>0</v>
      </c>
      <c r="K254">
        <f t="shared" si="20"/>
        <v>0</v>
      </c>
    </row>
    <row r="255" spans="1:11" x14ac:dyDescent="0.35">
      <c r="A255" s="1">
        <v>42451</v>
      </c>
      <c r="B255">
        <v>1350</v>
      </c>
      <c r="C255">
        <v>24800</v>
      </c>
      <c r="D255">
        <v>1135</v>
      </c>
      <c r="E255">
        <v>39520</v>
      </c>
      <c r="F255">
        <v>1800</v>
      </c>
      <c r="G255">
        <f t="shared" si="16"/>
        <v>1.8867924528301883E-2</v>
      </c>
      <c r="H255">
        <f t="shared" si="17"/>
        <v>1.2244897959183598E-2</v>
      </c>
      <c r="I255">
        <f t="shared" si="18"/>
        <v>-8.733624454148492E-3</v>
      </c>
      <c r="J255">
        <f t="shared" si="19"/>
        <v>2.0283975659229903E-3</v>
      </c>
      <c r="K255">
        <f t="shared" si="20"/>
        <v>0</v>
      </c>
    </row>
    <row r="256" spans="1:11" x14ac:dyDescent="0.35">
      <c r="A256" s="1">
        <v>42452</v>
      </c>
      <c r="B256">
        <v>1340</v>
      </c>
      <c r="C256">
        <v>24260</v>
      </c>
      <c r="D256">
        <v>1135</v>
      </c>
      <c r="E256">
        <v>39960</v>
      </c>
      <c r="F256">
        <v>1900</v>
      </c>
      <c r="G256">
        <f t="shared" si="16"/>
        <v>-7.4074074074074181E-3</v>
      </c>
      <c r="H256">
        <f t="shared" si="17"/>
        <v>-2.1774193548387055E-2</v>
      </c>
      <c r="I256">
        <f t="shared" si="18"/>
        <v>0</v>
      </c>
      <c r="J256">
        <f t="shared" si="19"/>
        <v>1.1133603238866474E-2</v>
      </c>
      <c r="K256">
        <f t="shared" si="20"/>
        <v>5.555555555555558E-2</v>
      </c>
    </row>
    <row r="257" spans="1:26" x14ac:dyDescent="0.35">
      <c r="A257" s="1">
        <v>42453</v>
      </c>
      <c r="B257">
        <v>1340</v>
      </c>
      <c r="C257">
        <v>24260</v>
      </c>
      <c r="D257">
        <v>1135</v>
      </c>
      <c r="E257">
        <v>39960</v>
      </c>
      <c r="F257">
        <v>1900</v>
      </c>
      <c r="G257">
        <f t="shared" si="16"/>
        <v>0</v>
      </c>
      <c r="H257">
        <f t="shared" si="17"/>
        <v>0</v>
      </c>
      <c r="I257">
        <f t="shared" si="18"/>
        <v>0</v>
      </c>
      <c r="J257">
        <f t="shared" si="19"/>
        <v>0</v>
      </c>
      <c r="K257">
        <f t="shared" si="20"/>
        <v>0</v>
      </c>
    </row>
    <row r="258" spans="1:26" x14ac:dyDescent="0.35">
      <c r="A258" s="1">
        <v>42454</v>
      </c>
      <c r="B258">
        <v>1340</v>
      </c>
      <c r="C258">
        <v>24260</v>
      </c>
      <c r="D258">
        <v>1135</v>
      </c>
      <c r="E258">
        <v>39960</v>
      </c>
      <c r="F258">
        <v>1900</v>
      </c>
      <c r="G258">
        <f t="shared" si="16"/>
        <v>0</v>
      </c>
      <c r="H258">
        <f t="shared" si="17"/>
        <v>0</v>
      </c>
      <c r="I258">
        <f t="shared" si="18"/>
        <v>0</v>
      </c>
      <c r="J258">
        <f t="shared" si="19"/>
        <v>0</v>
      </c>
      <c r="K258">
        <f t="shared" si="20"/>
        <v>0</v>
      </c>
    </row>
    <row r="259" spans="1:26" x14ac:dyDescent="0.35">
      <c r="A259" s="1">
        <v>42457</v>
      </c>
      <c r="B259">
        <v>1290</v>
      </c>
      <c r="C259">
        <v>23700</v>
      </c>
      <c r="D259">
        <v>1125</v>
      </c>
      <c r="E259">
        <v>39580</v>
      </c>
      <c r="F259">
        <v>1855</v>
      </c>
      <c r="G259">
        <f t="shared" si="16"/>
        <v>-3.7313432835820892E-2</v>
      </c>
      <c r="H259">
        <f t="shared" si="17"/>
        <v>-2.3083264633140921E-2</v>
      </c>
      <c r="I259">
        <f t="shared" si="18"/>
        <v>-8.8105726872246271E-3</v>
      </c>
      <c r="J259">
        <f t="shared" si="19"/>
        <v>-9.5095095095094617E-3</v>
      </c>
      <c r="K259">
        <f t="shared" si="20"/>
        <v>-2.3684210526315752E-2</v>
      </c>
    </row>
    <row r="260" spans="1:26" x14ac:dyDescent="0.35">
      <c r="A260" s="1">
        <v>42458</v>
      </c>
      <c r="B260">
        <v>1280</v>
      </c>
      <c r="C260">
        <v>23700</v>
      </c>
      <c r="D260">
        <v>1120</v>
      </c>
      <c r="E260">
        <v>39000</v>
      </c>
      <c r="F260">
        <v>1830</v>
      </c>
      <c r="G260">
        <f t="shared" ref="G260:G263" si="21">B260/B259-1</f>
        <v>-7.7519379844961378E-3</v>
      </c>
      <c r="H260">
        <f t="shared" ref="H260:H263" si="22">C260/C259-1</f>
        <v>0</v>
      </c>
      <c r="I260">
        <f t="shared" ref="I260:I263" si="23">D260/D259-1</f>
        <v>-4.4444444444444731E-3</v>
      </c>
      <c r="J260">
        <f t="shared" ref="J260:J263" si="24">E260/E259-1</f>
        <v>-1.4653865588681203E-2</v>
      </c>
      <c r="K260">
        <f t="shared" ref="K260:K263" si="25">F260/F259-1</f>
        <v>-1.3477088948787075E-2</v>
      </c>
    </row>
    <row r="261" spans="1:26" x14ac:dyDescent="0.35">
      <c r="A261" s="1">
        <v>42459</v>
      </c>
      <c r="B261">
        <v>1310</v>
      </c>
      <c r="C261">
        <v>24000</v>
      </c>
      <c r="D261">
        <v>1150</v>
      </c>
      <c r="E261">
        <v>39300</v>
      </c>
      <c r="F261">
        <v>1850</v>
      </c>
      <c r="G261">
        <f t="shared" si="21"/>
        <v>2.34375E-2</v>
      </c>
      <c r="H261">
        <f t="shared" si="22"/>
        <v>1.2658227848101333E-2</v>
      </c>
      <c r="I261">
        <f t="shared" si="23"/>
        <v>2.6785714285714191E-2</v>
      </c>
      <c r="J261">
        <f t="shared" si="24"/>
        <v>7.692307692307665E-3</v>
      </c>
      <c r="K261">
        <f t="shared" si="25"/>
        <v>1.0928961748633892E-2</v>
      </c>
    </row>
    <row r="262" spans="1:26" x14ac:dyDescent="0.35">
      <c r="A262" s="1">
        <v>42460</v>
      </c>
      <c r="B262">
        <v>1310</v>
      </c>
      <c r="C262">
        <v>24700</v>
      </c>
      <c r="D262">
        <v>1150</v>
      </c>
      <c r="E262">
        <v>39900</v>
      </c>
      <c r="F262">
        <v>1900</v>
      </c>
      <c r="G262">
        <f t="shared" si="21"/>
        <v>0</v>
      </c>
      <c r="H262">
        <f t="shared" si="22"/>
        <v>2.9166666666666563E-2</v>
      </c>
      <c r="I262">
        <f t="shared" si="23"/>
        <v>0</v>
      </c>
      <c r="J262">
        <f t="shared" si="24"/>
        <v>1.5267175572519109E-2</v>
      </c>
      <c r="K262">
        <f t="shared" si="25"/>
        <v>2.7027027027026973E-2</v>
      </c>
    </row>
    <row r="263" spans="1:26" x14ac:dyDescent="0.35">
      <c r="A263" s="1">
        <v>42461</v>
      </c>
      <c r="B263">
        <v>1300</v>
      </c>
      <c r="C263">
        <v>24700</v>
      </c>
      <c r="D263">
        <v>1145</v>
      </c>
      <c r="E263">
        <v>39580</v>
      </c>
      <c r="F263">
        <v>1900</v>
      </c>
      <c r="G263">
        <f t="shared" si="21"/>
        <v>-7.6335877862595547E-3</v>
      </c>
      <c r="H263">
        <f t="shared" si="22"/>
        <v>0</v>
      </c>
      <c r="I263">
        <f t="shared" si="23"/>
        <v>-4.3478260869564966E-3</v>
      </c>
      <c r="J263">
        <f t="shared" si="24"/>
        <v>-8.0200501253132606E-3</v>
      </c>
      <c r="K263">
        <f t="shared" si="25"/>
        <v>0</v>
      </c>
    </row>
    <row r="264" spans="1:26" x14ac:dyDescent="0.35">
      <c r="F264" t="s">
        <v>6</v>
      </c>
      <c r="G264">
        <f>AVERAGE(G3:G263)</f>
        <v>-1.3305185435034939E-3</v>
      </c>
      <c r="H264">
        <f t="shared" ref="H264:K264" si="26">AVERAGE(H3:H263)</f>
        <v>2.0341688273794927E-4</v>
      </c>
      <c r="I264">
        <f t="shared" si="26"/>
        <v>1.0485475376909281E-4</v>
      </c>
      <c r="J264">
        <f t="shared" si="26"/>
        <v>6.9848843875475522E-4</v>
      </c>
      <c r="K264">
        <f t="shared" si="26"/>
        <v>7.0369802907624391E-4</v>
      </c>
    </row>
    <row r="265" spans="1:26" x14ac:dyDescent="0.35">
      <c r="F265" t="s">
        <v>17</v>
      </c>
      <c r="G265" s="4">
        <f>(1+G264)^1-1</f>
        <v>-1.3305185435035227E-3</v>
      </c>
      <c r="H265" s="4">
        <f t="shared" ref="H265:K265" si="27">(1+H264)^1-1</f>
        <v>2.0341688273783909E-4</v>
      </c>
      <c r="I265" s="4">
        <f t="shared" si="27"/>
        <v>1.0485475376920128E-4</v>
      </c>
      <c r="J265" s="4">
        <f t="shared" si="27"/>
        <v>6.9848843875486288E-4</v>
      </c>
      <c r="K265" s="4">
        <f t="shared" si="27"/>
        <v>7.0369802907621626E-4</v>
      </c>
    </row>
    <row r="267" spans="1:26" x14ac:dyDescent="0.35">
      <c r="A267" t="s">
        <v>7</v>
      </c>
      <c r="H267" t="s">
        <v>18</v>
      </c>
    </row>
    <row r="268" spans="1:26" x14ac:dyDescent="0.35">
      <c r="B268" t="s">
        <v>1</v>
      </c>
      <c r="C268" t="s">
        <v>2</v>
      </c>
      <c r="D268" t="s">
        <v>3</v>
      </c>
      <c r="E268" t="s">
        <v>4</v>
      </c>
      <c r="F268" t="s">
        <v>5</v>
      </c>
      <c r="I268" t="s">
        <v>1</v>
      </c>
      <c r="J268" t="s">
        <v>2</v>
      </c>
      <c r="K268" t="s">
        <v>3</v>
      </c>
      <c r="L268" t="s">
        <v>4</v>
      </c>
      <c r="M268" t="s">
        <v>5</v>
      </c>
      <c r="P268">
        <f>G277</f>
        <v>0</v>
      </c>
      <c r="Q268">
        <f>G278</f>
        <v>3.0167561737121456E-3</v>
      </c>
      <c r="R268">
        <f>G279</f>
        <v>0</v>
      </c>
      <c r="S268">
        <f>G280</f>
        <v>0.42002221990547234</v>
      </c>
      <c r="T268">
        <f>G281</f>
        <v>0.57696102166845997</v>
      </c>
      <c r="V268">
        <f t="array" ref="V268:Z268">MMULT(P268:T268,I269:M273)</f>
        <v>7.946424041439626E-5</v>
      </c>
      <c r="W268">
        <v>4.6050655959340496E-5</v>
      </c>
      <c r="X268">
        <v>3.8730469418199641E-5</v>
      </c>
      <c r="Y268">
        <v>1.2966775490035078E-4</v>
      </c>
      <c r="Z268">
        <v>1.305476446259402E-4</v>
      </c>
    </row>
    <row r="269" spans="1:26" x14ac:dyDescent="0.35">
      <c r="A269" t="s">
        <v>1</v>
      </c>
      <c r="B269">
        <f>_xlfn.COVARIANCE.P($G$3:$G$263,G3:G263)</f>
        <v>6.3715784304335351E-4</v>
      </c>
      <c r="C269">
        <f t="shared" ref="C269:F269" si="28">_xlfn.COVARIANCE.P($G$3:$G$263,H3:H263)</f>
        <v>1.338829254738053E-4</v>
      </c>
      <c r="D269">
        <f t="shared" si="28"/>
        <v>1.0735377024417621E-4</v>
      </c>
      <c r="E269">
        <f t="shared" si="28"/>
        <v>1.639376886437651E-4</v>
      </c>
      <c r="F269">
        <f t="shared" si="28"/>
        <v>1.768382261350585E-5</v>
      </c>
      <c r="H269" t="s">
        <v>1</v>
      </c>
      <c r="I269">
        <f>B269*1</f>
        <v>6.3715784304335351E-4</v>
      </c>
      <c r="J269">
        <f t="shared" ref="J269:J273" si="29">C269*1</f>
        <v>1.338829254738053E-4</v>
      </c>
      <c r="K269">
        <f t="shared" ref="K269:K273" si="30">D269*1</f>
        <v>1.0735377024417621E-4</v>
      </c>
      <c r="L269">
        <f t="shared" ref="L269:L273" si="31">E269*1</f>
        <v>1.639376886437651E-4</v>
      </c>
      <c r="M269">
        <f t="shared" ref="M269:M273" si="32">F269*1</f>
        <v>1.768382261350585E-5</v>
      </c>
    </row>
    <row r="270" spans="1:26" x14ac:dyDescent="0.35">
      <c r="A270" t="s">
        <v>2</v>
      </c>
      <c r="B270">
        <f>_xlfn.COVARIANCE.P($H$3:$H$263,G$3:G$263)</f>
        <v>1.338829254738053E-4</v>
      </c>
      <c r="C270">
        <f t="shared" ref="C270:F270" si="33">_xlfn.COVARIANCE.P($H$3:$H$263,H3:H263)</f>
        <v>3.1384154193248444E-4</v>
      </c>
      <c r="D270">
        <f t="shared" si="33"/>
        <v>1.1150354947328678E-4</v>
      </c>
      <c r="E270">
        <f t="shared" si="33"/>
        <v>1.0639349582538233E-4</v>
      </c>
      <c r="F270">
        <f t="shared" si="33"/>
        <v>7.2143565065099101E-7</v>
      </c>
      <c r="H270" t="s">
        <v>2</v>
      </c>
      <c r="I270">
        <f t="shared" ref="I270:I273" si="34">B270*1</f>
        <v>1.338829254738053E-4</v>
      </c>
      <c r="J270">
        <f t="shared" si="29"/>
        <v>3.1384154193248444E-4</v>
      </c>
      <c r="K270">
        <f t="shared" si="30"/>
        <v>1.1150354947328678E-4</v>
      </c>
      <c r="L270">
        <f t="shared" si="31"/>
        <v>1.0639349582538233E-4</v>
      </c>
      <c r="M270">
        <f t="shared" si="32"/>
        <v>7.2143565065099101E-7</v>
      </c>
    </row>
    <row r="271" spans="1:26" x14ac:dyDescent="0.35">
      <c r="A271" t="s">
        <v>3</v>
      </c>
      <c r="B271">
        <f>_xlfn.COVARIANCE.P($I$3:$I$263,G$3:G$263)</f>
        <v>1.0735377024417621E-4</v>
      </c>
      <c r="C271">
        <f t="shared" ref="C271:F271" si="35">_xlfn.COVARIANCE.P($I$3:$I$263,H$3:H$263)</f>
        <v>1.1150354947328678E-4</v>
      </c>
      <c r="D271">
        <f t="shared" si="35"/>
        <v>3.1024146926574914E-4</v>
      </c>
      <c r="E271">
        <f t="shared" si="35"/>
        <v>8.092545936176125E-5</v>
      </c>
      <c r="F271">
        <f t="shared" si="35"/>
        <v>7.6324034788413825E-6</v>
      </c>
      <c r="H271" t="s">
        <v>3</v>
      </c>
      <c r="I271">
        <f t="shared" si="34"/>
        <v>1.0735377024417621E-4</v>
      </c>
      <c r="J271">
        <f t="shared" si="29"/>
        <v>1.1150354947328678E-4</v>
      </c>
      <c r="K271">
        <f t="shared" si="30"/>
        <v>3.1024146926574914E-4</v>
      </c>
      <c r="L271">
        <f t="shared" si="31"/>
        <v>8.092545936176125E-5</v>
      </c>
      <c r="M271">
        <f t="shared" si="32"/>
        <v>7.6324034788413825E-6</v>
      </c>
    </row>
    <row r="272" spans="1:26" x14ac:dyDescent="0.35">
      <c r="A272" t="s">
        <v>4</v>
      </c>
      <c r="B272">
        <f>_xlfn.COVARIANCE.P($J$3:$J$263,G$3:G$263)</f>
        <v>1.639376886437651E-4</v>
      </c>
      <c r="C272">
        <f t="shared" ref="C272:F272" si="36">_xlfn.COVARIANCE.P($J$3:$J$263,H$3:H$263)</f>
        <v>1.0639349582538233E-4</v>
      </c>
      <c r="D272">
        <f t="shared" si="36"/>
        <v>8.092545936176125E-5</v>
      </c>
      <c r="E272">
        <f t="shared" si="36"/>
        <v>2.764646991382805E-4</v>
      </c>
      <c r="F272">
        <f t="shared" si="36"/>
        <v>2.2922649036449868E-5</v>
      </c>
      <c r="H272" t="s">
        <v>4</v>
      </c>
      <c r="I272">
        <f t="shared" si="34"/>
        <v>1.639376886437651E-4</v>
      </c>
      <c r="J272">
        <f t="shared" si="29"/>
        <v>1.0639349582538233E-4</v>
      </c>
      <c r="K272">
        <f t="shared" si="30"/>
        <v>8.092545936176125E-5</v>
      </c>
      <c r="L272">
        <f t="shared" si="31"/>
        <v>2.764646991382805E-4</v>
      </c>
      <c r="M272">
        <f t="shared" si="32"/>
        <v>2.2922649036449868E-5</v>
      </c>
    </row>
    <row r="273" spans="1:13" x14ac:dyDescent="0.35">
      <c r="A273" t="s">
        <v>5</v>
      </c>
      <c r="B273">
        <f>_xlfn.COVARIANCE.P($K$3:$K$263,G$3:G$263)</f>
        <v>1.768382261350585E-5</v>
      </c>
      <c r="C273">
        <f t="shared" ref="C273:F273" si="37">_xlfn.COVARIANCE.P($K$3:$K$263,H$3:H$263)</f>
        <v>7.2143565065099101E-7</v>
      </c>
      <c r="D273">
        <f t="shared" si="37"/>
        <v>7.6324034788413825E-6</v>
      </c>
      <c r="E273">
        <f t="shared" si="37"/>
        <v>2.2922649036449868E-5</v>
      </c>
      <c r="F273">
        <f t="shared" si="37"/>
        <v>2.0957645621607769E-4</v>
      </c>
      <c r="H273" t="s">
        <v>5</v>
      </c>
      <c r="I273">
        <f t="shared" si="34"/>
        <v>1.768382261350585E-5</v>
      </c>
      <c r="J273">
        <f t="shared" si="29"/>
        <v>7.2143565065099101E-7</v>
      </c>
      <c r="K273">
        <f t="shared" si="30"/>
        <v>7.6324034788413825E-6</v>
      </c>
      <c r="L273">
        <f t="shared" si="31"/>
        <v>2.2922649036449868E-5</v>
      </c>
      <c r="M273">
        <f t="shared" si="32"/>
        <v>2.0957645621607769E-4</v>
      </c>
    </row>
    <row r="276" spans="1:13" x14ac:dyDescent="0.35">
      <c r="B276" t="s">
        <v>8</v>
      </c>
      <c r="C276" s="4">
        <f>MMULT(V268:Z268,G277:G281)</f>
        <v>1.2992316428386635E-4</v>
      </c>
      <c r="G276" t="s">
        <v>10</v>
      </c>
    </row>
    <row r="277" spans="1:13" x14ac:dyDescent="0.35">
      <c r="B277" t="s">
        <v>9</v>
      </c>
      <c r="C277" s="4">
        <f>MMULT(G265:K265,G277:G281)</f>
        <v>7.0000065756285713E-4</v>
      </c>
      <c r="F277" t="s">
        <v>1</v>
      </c>
      <c r="G277" s="3">
        <v>0</v>
      </c>
    </row>
    <row r="278" spans="1:13" x14ac:dyDescent="0.35">
      <c r="B278" t="s">
        <v>12</v>
      </c>
      <c r="C278" s="4">
        <v>7.000000000000001E-4</v>
      </c>
      <c r="F278" t="s">
        <v>2</v>
      </c>
      <c r="G278" s="3">
        <v>3.0167561737121456E-3</v>
      </c>
    </row>
    <row r="279" spans="1:13" x14ac:dyDescent="0.35">
      <c r="F279" t="s">
        <v>3</v>
      </c>
      <c r="G279" s="3">
        <v>0</v>
      </c>
    </row>
    <row r="280" spans="1:13" x14ac:dyDescent="0.35">
      <c r="F280" t="s">
        <v>4</v>
      </c>
      <c r="G280" s="3">
        <v>0.42002221990547234</v>
      </c>
    </row>
    <row r="281" spans="1:13" x14ac:dyDescent="0.35">
      <c r="F281" t="s">
        <v>5</v>
      </c>
      <c r="G281" s="3">
        <v>0.57696102166845997</v>
      </c>
    </row>
    <row r="282" spans="1:13" x14ac:dyDescent="0.35">
      <c r="F282" t="s">
        <v>11</v>
      </c>
      <c r="G282" s="3">
        <f>SUM(G277:G281)</f>
        <v>0.99999999774764448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D56"/>
  <sheetViews>
    <sheetView tabSelected="1" workbookViewId="0">
      <selection activeCell="C18" sqref="C18"/>
    </sheetView>
  </sheetViews>
  <sheetFormatPr baseColWidth="10" defaultColWidth="8.7265625" defaultRowHeight="14.5" x14ac:dyDescent="0.35"/>
  <cols>
    <col min="3" max="3" width="12.54296875" bestFit="1" customWidth="1"/>
    <col min="4" max="4" width="10.54296875" bestFit="1" customWidth="1"/>
  </cols>
  <sheetData>
    <row r="2" spans="1:4" x14ac:dyDescent="0.35">
      <c r="A2" t="s">
        <v>13</v>
      </c>
      <c r="B2" s="5">
        <f>ROUND(MIN(Markowitz!G265:K265),4)</f>
        <v>-1.2999999999999999E-3</v>
      </c>
    </row>
    <row r="3" spans="1:4" x14ac:dyDescent="0.35">
      <c r="A3" t="s">
        <v>14</v>
      </c>
      <c r="B3" s="5">
        <f>ROUND(MAX(Markowitz!G265:K265),4)</f>
        <v>6.9999999999999999E-4</v>
      </c>
    </row>
    <row r="5" spans="1:4" x14ac:dyDescent="0.35">
      <c r="B5" t="s">
        <v>15</v>
      </c>
      <c r="C5" t="s">
        <v>9</v>
      </c>
      <c r="D5" t="s">
        <v>16</v>
      </c>
    </row>
    <row r="6" spans="1:4" x14ac:dyDescent="0.35">
      <c r="B6">
        <v>1</v>
      </c>
      <c r="C6" s="5">
        <f>(($B$3)-($B$2))/50*(B6-1)+$B$2</f>
        <v>-1.2999999999999999E-3</v>
      </c>
      <c r="D6" s="4">
        <v>6.1496028729129341E-4</v>
      </c>
    </row>
    <row r="7" spans="1:4" x14ac:dyDescent="0.35">
      <c r="B7">
        <v>2</v>
      </c>
      <c r="C7" s="5">
        <f t="shared" ref="C7:C56" si="0">(($B$3)-($B$2))/50*(B7-1)+$B$2</f>
        <v>-1.2599999999999998E-3</v>
      </c>
      <c r="D7" s="4">
        <v>5.8686876180723475E-4</v>
      </c>
    </row>
    <row r="8" spans="1:4" x14ac:dyDescent="0.35">
      <c r="B8">
        <v>3</v>
      </c>
      <c r="C8" s="5">
        <f t="shared" si="0"/>
        <v>-1.2199999999999999E-3</v>
      </c>
      <c r="D8" s="4">
        <v>5.599155751910001E-4</v>
      </c>
    </row>
    <row r="9" spans="1:4" x14ac:dyDescent="0.35">
      <c r="B9">
        <v>4</v>
      </c>
      <c r="C9" s="5">
        <f t="shared" si="0"/>
        <v>-1.1799999999999998E-3</v>
      </c>
      <c r="D9" s="4">
        <v>5.3410038789091353E-4</v>
      </c>
    </row>
    <row r="10" spans="1:4" x14ac:dyDescent="0.35">
      <c r="B10">
        <v>5</v>
      </c>
      <c r="C10" s="5">
        <f t="shared" si="0"/>
        <v>-1.14E-3</v>
      </c>
      <c r="D10" s="4">
        <v>5.0942248800460899E-4</v>
      </c>
    </row>
    <row r="11" spans="1:4" x14ac:dyDescent="0.35">
      <c r="B11">
        <v>6</v>
      </c>
      <c r="C11" s="5">
        <f t="shared" si="0"/>
        <v>-1.0999999999999998E-3</v>
      </c>
      <c r="D11" s="4">
        <v>4.8588400748587538E-4</v>
      </c>
    </row>
    <row r="12" spans="1:4" x14ac:dyDescent="0.35">
      <c r="B12">
        <v>7</v>
      </c>
      <c r="C12" s="5">
        <f t="shared" si="0"/>
        <v>-1.06E-3</v>
      </c>
      <c r="D12" s="4">
        <v>4.6348281446509284E-4</v>
      </c>
    </row>
    <row r="13" spans="1:4" x14ac:dyDescent="0.35">
      <c r="B13">
        <v>8</v>
      </c>
      <c r="C13" s="5">
        <f t="shared" si="0"/>
        <v>-1.0199999999999999E-3</v>
      </c>
      <c r="D13" s="4">
        <v>4.4221961971681236E-4</v>
      </c>
    </row>
    <row r="14" spans="1:4" x14ac:dyDescent="0.35">
      <c r="B14">
        <v>9</v>
      </c>
      <c r="C14" s="5">
        <f t="shared" si="0"/>
        <v>-9.7999999999999997E-4</v>
      </c>
      <c r="D14" s="4">
        <v>4.2205021991400127E-4</v>
      </c>
    </row>
    <row r="15" spans="1:4" x14ac:dyDescent="0.35">
      <c r="B15">
        <v>10</v>
      </c>
      <c r="C15" s="5">
        <f t="shared" si="0"/>
        <v>-9.3999999999999986E-4</v>
      </c>
      <c r="D15" s="4">
        <v>4.0277121329373268E-4</v>
      </c>
    </row>
    <row r="16" spans="1:4" x14ac:dyDescent="0.35">
      <c r="B16">
        <v>11</v>
      </c>
      <c r="C16" s="5">
        <f t="shared" si="0"/>
        <v>-8.9999999999999998E-4</v>
      </c>
      <c r="D16" s="4">
        <v>3.8420125334099041E-4</v>
      </c>
    </row>
    <row r="17" spans="2:4" x14ac:dyDescent="0.35">
      <c r="B17">
        <v>12</v>
      </c>
      <c r="C17" s="5">
        <f t="shared" si="0"/>
        <v>-8.5999999999999987E-4</v>
      </c>
      <c r="D17" s="4">
        <v>3.662284375883498E-4</v>
      </c>
    </row>
    <row r="18" spans="2:4" x14ac:dyDescent="0.35">
      <c r="B18">
        <v>13</v>
      </c>
      <c r="C18" s="5">
        <f t="shared" si="0"/>
        <v>-8.1999999999999987E-4</v>
      </c>
      <c r="D18" s="4">
        <v>3.4885283435710026E-4</v>
      </c>
    </row>
    <row r="19" spans="2:4" x14ac:dyDescent="0.35">
      <c r="B19">
        <v>14</v>
      </c>
      <c r="C19" s="5">
        <f t="shared" si="0"/>
        <v>-7.7999999999999988E-4</v>
      </c>
      <c r="D19" s="4">
        <v>3.3207554486443301E-4</v>
      </c>
    </row>
    <row r="20" spans="2:4" x14ac:dyDescent="0.35">
      <c r="B20">
        <v>15</v>
      </c>
      <c r="C20" s="5">
        <f t="shared" si="0"/>
        <v>-7.3999999999999988E-4</v>
      </c>
      <c r="D20" s="4">
        <v>3.1589546789475496E-4</v>
      </c>
    </row>
    <row r="21" spans="2:4" x14ac:dyDescent="0.35">
      <c r="B21">
        <v>16</v>
      </c>
      <c r="C21" s="5">
        <f t="shared" si="0"/>
        <v>-6.9999999999999988E-4</v>
      </c>
      <c r="D21" s="4">
        <v>3.0031297118409181E-4</v>
      </c>
    </row>
    <row r="22" spans="2:4" x14ac:dyDescent="0.35">
      <c r="B22">
        <v>17</v>
      </c>
      <c r="C22" s="5">
        <f t="shared" si="0"/>
        <v>-6.5999999999999989E-4</v>
      </c>
      <c r="D22" s="4">
        <v>2.8532805249712059E-4</v>
      </c>
    </row>
    <row r="23" spans="2:4" x14ac:dyDescent="0.35">
      <c r="B23">
        <v>18</v>
      </c>
      <c r="C23" s="5">
        <f t="shared" si="0"/>
        <v>-6.1999999999999989E-4</v>
      </c>
      <c r="D23" s="4">
        <v>2.7094071420301927E-4</v>
      </c>
    </row>
    <row r="24" spans="2:4" x14ac:dyDescent="0.35">
      <c r="B24">
        <v>19</v>
      </c>
      <c r="C24" s="5">
        <f t="shared" si="0"/>
        <v>-5.7999999999999989E-4</v>
      </c>
      <c r="D24" s="4">
        <v>2.571509555486228E-4</v>
      </c>
    </row>
    <row r="25" spans="2:4" x14ac:dyDescent="0.35">
      <c r="B25">
        <v>20</v>
      </c>
      <c r="C25" s="5">
        <f t="shared" si="0"/>
        <v>-5.399999999999999E-4</v>
      </c>
      <c r="D25" s="4">
        <v>2.4395858958789628E-4</v>
      </c>
    </row>
    <row r="26" spans="2:4" x14ac:dyDescent="0.35">
      <c r="B26">
        <v>21</v>
      </c>
      <c r="C26" s="5">
        <f t="shared" si="0"/>
        <v>-4.999999999999999E-4</v>
      </c>
      <c r="D26" s="4">
        <v>2.3136417647178422E-4</v>
      </c>
    </row>
    <row r="27" spans="2:4" x14ac:dyDescent="0.35">
      <c r="B27">
        <v>22</v>
      </c>
      <c r="C27" s="5">
        <f t="shared" si="0"/>
        <v>-4.5999999999999991E-4</v>
      </c>
      <c r="D27" s="4">
        <v>2.193671562706877E-4</v>
      </c>
    </row>
    <row r="28" spans="2:4" x14ac:dyDescent="0.35">
      <c r="B28">
        <v>23</v>
      </c>
      <c r="C28" s="5">
        <f t="shared" si="0"/>
        <v>-4.1999999999999991E-4</v>
      </c>
      <c r="D28" s="4">
        <v>2.079677153983095E-4</v>
      </c>
    </row>
    <row r="29" spans="2:4" x14ac:dyDescent="0.35">
      <c r="B29">
        <v>24</v>
      </c>
      <c r="C29" s="5">
        <f t="shared" si="0"/>
        <v>-3.7999999999999991E-4</v>
      </c>
      <c r="D29" s="4">
        <v>1.9716585409836217E-4</v>
      </c>
    </row>
    <row r="30" spans="2:4" x14ac:dyDescent="0.35">
      <c r="B30">
        <v>25</v>
      </c>
      <c r="C30" s="5">
        <f t="shared" si="0"/>
        <v>-3.3999999999999981E-4</v>
      </c>
      <c r="D30" s="4">
        <v>1.8696157137776802E-4</v>
      </c>
    </row>
    <row r="31" spans="2:4" x14ac:dyDescent="0.35">
      <c r="B31">
        <v>26</v>
      </c>
      <c r="C31" s="5">
        <f t="shared" si="0"/>
        <v>-2.9999999999999992E-4</v>
      </c>
      <c r="D31" s="4">
        <v>1.7735479132135698E-4</v>
      </c>
    </row>
    <row r="32" spans="2:4" x14ac:dyDescent="0.35">
      <c r="B32">
        <v>27</v>
      </c>
      <c r="C32" s="5">
        <f t="shared" si="0"/>
        <v>-2.5999999999999981E-4</v>
      </c>
      <c r="D32" s="4">
        <v>1.6834574800122083E-4</v>
      </c>
    </row>
    <row r="33" spans="2:4" x14ac:dyDescent="0.35">
      <c r="B33">
        <v>28</v>
      </c>
      <c r="C33" s="5">
        <f t="shared" si="0"/>
        <v>-2.1999999999999993E-4</v>
      </c>
      <c r="D33" s="4">
        <v>1.5993419992053613E-4</v>
      </c>
    </row>
    <row r="34" spans="2:4" x14ac:dyDescent="0.35">
      <c r="B34">
        <v>29</v>
      </c>
      <c r="C34" s="5">
        <f t="shared" si="0"/>
        <v>-1.7999999999999982E-4</v>
      </c>
      <c r="D34" s="4">
        <v>1.5212024174275862E-4</v>
      </c>
    </row>
    <row r="35" spans="2:4" x14ac:dyDescent="0.35">
      <c r="B35">
        <v>30</v>
      </c>
      <c r="C35" s="5">
        <f t="shared" si="0"/>
        <v>-1.3999999999999993E-4</v>
      </c>
      <c r="D35" s="4">
        <v>1.4490385778133673E-4</v>
      </c>
    </row>
    <row r="36" spans="2:4" x14ac:dyDescent="0.35">
      <c r="B36">
        <v>31</v>
      </c>
      <c r="C36" s="5">
        <f t="shared" si="0"/>
        <v>-9.9999999999999829E-5</v>
      </c>
      <c r="D36" s="4">
        <v>1.3828503123652661E-4</v>
      </c>
    </row>
    <row r="37" spans="2:4" x14ac:dyDescent="0.35">
      <c r="B37">
        <v>32</v>
      </c>
      <c r="C37" s="5">
        <f t="shared" si="0"/>
        <v>-5.9999999999999941E-5</v>
      </c>
      <c r="D37" s="4">
        <v>1.3226382834942191E-4</v>
      </c>
    </row>
    <row r="38" spans="2:4" x14ac:dyDescent="0.35">
      <c r="B38">
        <v>33</v>
      </c>
      <c r="C38" s="5">
        <f t="shared" si="0"/>
        <v>-1.9999999999999836E-5</v>
      </c>
      <c r="D38" s="4">
        <v>1.2684017529553338E-4</v>
      </c>
    </row>
    <row r="39" spans="2:4" x14ac:dyDescent="0.35">
      <c r="B39">
        <v>34</v>
      </c>
      <c r="C39" s="5">
        <f t="shared" si="0"/>
        <v>2.0000000000000269E-5</v>
      </c>
      <c r="D39" s="4">
        <v>1.2201173327855823E-4</v>
      </c>
    </row>
    <row r="40" spans="2:4" x14ac:dyDescent="0.35">
      <c r="B40">
        <v>35</v>
      </c>
      <c r="C40" s="5">
        <f t="shared" si="0"/>
        <v>6.0000000000000157E-5</v>
      </c>
      <c r="D40" s="4">
        <v>1.1766737888767572E-4</v>
      </c>
    </row>
    <row r="41" spans="2:4" x14ac:dyDescent="0.35">
      <c r="B41">
        <v>36</v>
      </c>
      <c r="C41" s="5">
        <f t="shared" si="0"/>
        <v>1.0000000000000026E-4</v>
      </c>
      <c r="D41" s="4">
        <v>1.137464613566802E-4</v>
      </c>
    </row>
    <row r="42" spans="2:4" x14ac:dyDescent="0.35">
      <c r="B42">
        <v>37</v>
      </c>
      <c r="C42" s="5">
        <f t="shared" si="0"/>
        <v>1.4000000000000015E-4</v>
      </c>
      <c r="D42" s="4">
        <v>1.1024898255211621E-4</v>
      </c>
    </row>
    <row r="43" spans="2:4" x14ac:dyDescent="0.35">
      <c r="B43">
        <v>38</v>
      </c>
      <c r="C43" s="5">
        <f t="shared" si="0"/>
        <v>1.8000000000000026E-4</v>
      </c>
      <c r="D43" s="4">
        <v>1.0717494244809996E-4</v>
      </c>
    </row>
    <row r="44" spans="2:4" x14ac:dyDescent="0.35">
      <c r="B44">
        <v>39</v>
      </c>
      <c r="C44" s="5">
        <f t="shared" si="0"/>
        <v>2.2000000000000014E-4</v>
      </c>
      <c r="D44" s="4">
        <v>1.0452434190123792E-4</v>
      </c>
    </row>
    <row r="45" spans="2:4" x14ac:dyDescent="0.35">
      <c r="B45">
        <v>40</v>
      </c>
      <c r="C45" s="5">
        <f t="shared" si="0"/>
        <v>2.6000000000000025E-4</v>
      </c>
      <c r="D45" s="4">
        <v>1.0229716919149624E-4</v>
      </c>
    </row>
    <row r="46" spans="2:4" x14ac:dyDescent="0.35">
      <c r="B46">
        <v>41</v>
      </c>
      <c r="C46" s="5">
        <f t="shared" si="0"/>
        <v>3.0000000000000014E-4</v>
      </c>
      <c r="D46" s="4">
        <v>1.0049345704963001E-4</v>
      </c>
    </row>
    <row r="47" spans="2:4" x14ac:dyDescent="0.35">
      <c r="B47">
        <v>42</v>
      </c>
      <c r="C47" s="5">
        <f t="shared" si="0"/>
        <v>3.4000000000000024E-4</v>
      </c>
      <c r="D47" s="4">
        <v>9.911316454264585E-5</v>
      </c>
    </row>
    <row r="48" spans="2:4" x14ac:dyDescent="0.35">
      <c r="B48">
        <v>43</v>
      </c>
      <c r="C48" s="5">
        <f t="shared" si="0"/>
        <v>3.8000000000000013E-4</v>
      </c>
      <c r="D48" s="4">
        <v>9.8156322202131498E-5</v>
      </c>
    </row>
    <row r="49" spans="2:4" x14ac:dyDescent="0.35">
      <c r="B49">
        <v>44</v>
      </c>
      <c r="C49" s="5">
        <f t="shared" si="0"/>
        <v>4.2000000000000023E-4</v>
      </c>
      <c r="D49" s="4">
        <v>9.7622922589293016E-5</v>
      </c>
    </row>
    <row r="50" spans="2:4" x14ac:dyDescent="0.35">
      <c r="B50">
        <v>45</v>
      </c>
      <c r="C50" s="5">
        <f t="shared" si="0"/>
        <v>4.6000000000000012E-4</v>
      </c>
      <c r="D50" s="4">
        <v>9.7512955878488244E-5</v>
      </c>
    </row>
    <row r="51" spans="2:4" x14ac:dyDescent="0.35">
      <c r="B51">
        <v>46</v>
      </c>
      <c r="C51" s="5">
        <f t="shared" si="0"/>
        <v>5.0000000000000023E-4</v>
      </c>
      <c r="D51" s="4">
        <v>9.7826427854261048E-5</v>
      </c>
    </row>
    <row r="52" spans="2:4" x14ac:dyDescent="0.35">
      <c r="B52">
        <v>47</v>
      </c>
      <c r="C52" s="5">
        <f t="shared" si="0"/>
        <v>5.4000000000000012E-4</v>
      </c>
      <c r="D52" s="4">
        <v>9.9172039836548182E-5</v>
      </c>
    </row>
    <row r="53" spans="2:4" x14ac:dyDescent="0.35">
      <c r="B53">
        <v>48</v>
      </c>
      <c r="C53" s="5">
        <f t="shared" si="0"/>
        <v>5.8000000000000022E-4</v>
      </c>
      <c r="D53" s="4">
        <v>1.0299934261825094E-4</v>
      </c>
    </row>
    <row r="54" spans="2:4" x14ac:dyDescent="0.35">
      <c r="B54">
        <v>49</v>
      </c>
      <c r="C54" s="5">
        <f t="shared" si="0"/>
        <v>6.2000000000000033E-4</v>
      </c>
      <c r="D54" s="4">
        <v>1.0937036835011622E-4</v>
      </c>
    </row>
    <row r="55" spans="2:4" x14ac:dyDescent="0.35">
      <c r="B55">
        <v>50</v>
      </c>
      <c r="C55" s="5">
        <f t="shared" si="0"/>
        <v>6.6000000000000043E-4</v>
      </c>
      <c r="D55" s="4">
        <v>1.1828532105451516E-4</v>
      </c>
    </row>
    <row r="56" spans="2:4" x14ac:dyDescent="0.35">
      <c r="B56">
        <v>51</v>
      </c>
      <c r="C56" s="5">
        <f t="shared" si="0"/>
        <v>7.000000000000001E-4</v>
      </c>
      <c r="D56" s="4">
        <v>1.2992316428386635E-4</v>
      </c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baseColWidth="10" defaultColWidth="8.7265625"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Markowitz</vt:lpstr>
      <vt:lpstr>FrontEficiente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Andres Galeano</dc:creator>
  <cp:lastModifiedBy>USUARIO</cp:lastModifiedBy>
  <dcterms:created xsi:type="dcterms:W3CDTF">2016-05-04T12:22:21Z</dcterms:created>
  <dcterms:modified xsi:type="dcterms:W3CDTF">2019-11-05T16:40:35Z</dcterms:modified>
</cp:coreProperties>
</file>